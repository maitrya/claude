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archiesampson/Downloads/"/>
    </mc:Choice>
  </mc:AlternateContent>
  <xr:revisionPtr revIDLastSave="0" documentId="13_ncr:1_{6BF2AF9A-9836-2C4C-91CC-53A6E9F9A9B4}" xr6:coauthVersionLast="47" xr6:coauthVersionMax="47" xr10:uidLastSave="{00000000-0000-0000-0000-000000000000}"/>
  <bookViews>
    <workbookView xWindow="0" yWindow="660" windowWidth="29400" windowHeight="16680" tabRatio="884" activeTab="1" xr2:uid="{00000000-000D-0000-FFFF-FFFF00000000}"/>
  </bookViews>
  <sheets>
    <sheet name="__FDSCACHE__" sheetId="7" state="veryHidden" r:id="rId1"/>
    <sheet name="Cover sheet" sheetId="9" r:id="rId2"/>
    <sheet name="__FDS_SIDEBAR__" sheetId="25" state="veryHidden" r:id="rId3"/>
    <sheet name="Assumptions" sheetId="12" r:id="rId4"/>
    <sheet name="Company fin forecasts" sheetId="44" r:id="rId5"/>
    <sheet name=" Financials" sheetId="45" r:id="rId6"/>
    <sheet name="DCF input" sheetId="31" r:id="rId7"/>
    <sheet name="DCF output" sheetId="4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localSheetId="5" hidden="1">#REF!</definedName>
    <definedName name="_bdm.1CEE895BAA7B41D59F88EC619FDEF041.edm" hidden="1">#REF!</definedName>
    <definedName name="_bdm.228191AD795C44C3B2C1D29851BA6B5A.edm" localSheetId="5" hidden="1">' Financials'!$1:$1048576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45b361867be14c0dba121ee1c7f48795.edm" localSheetId="7" hidden="1">'DCF output'!$C$5:$T$43</definedName>
    <definedName name="_bdm.5517df198ca9484c9e35b3878cf17a8e.edm" localSheetId="5" hidden="1">' Financials'!#REF!</definedName>
    <definedName name="_bdm.5F91EDFB28E345298D64C1B04C911BD8.edm" hidden="1">Assumptions!$1:$1048576</definedName>
    <definedName name="_bdm.609C5E0B40C34CEC83463B2CED066A56.edm" localSheetId="5" hidden="1">#REF!</definedName>
    <definedName name="_bdm.609C5E0B40C34CEC83463B2CED066A56.edm" hidden="1">#REF!</definedName>
    <definedName name="_bdm.6DE9FD41CF0248559D918CB423239EC7.edm" localSheetId="5" hidden="1">#REF!</definedName>
    <definedName name="_bdm.6DE9FD41CF0248559D918CB423239EC7.edm" hidden="1">#REF!</definedName>
    <definedName name="_bdm.74CEE327218B454AA9BC56D8CEA74141.edm" hidden="1">'DCF input'!$1:$1048576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localSheetId="5" hidden="1">#REF!</definedName>
    <definedName name="_bdm.B028FC28E4054953B61282121BB0749D.edm" hidden="1">#REF!</definedName>
    <definedName name="_bdm.BA7DF401FF66448AB626C492D77D0998.edm" localSheetId="5" hidden="1">#REF!</definedName>
    <definedName name="_bdm.BA7DF401FF66448AB626C492D77D0998.edm" hidden="1">#REF!</definedName>
    <definedName name="_bdm.c517996dc1c34e9a9e03e0d7b68ed7ad.edm" localSheetId="5" hidden="1">' Financials'!#REF!</definedName>
    <definedName name="_bdm.c5f000e80d6041afaf6f162acd101e00.edm" localSheetId="7" hidden="1">'DCF output'!$C$7:$T$43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D62A5529011B4AA59DA7E2E0D578E7E6.edm" hidden="1">#REF!</definedName>
    <definedName name="_bdm.e7e432fdd12f4d849a28c987dde91ad5.edm" hidden="1">#REF!</definedName>
    <definedName name="_bdm.ECE3A4A48F9A4CF5BC55AE82B22A40AE.edm" localSheetId="5" hidden="1">' Financials'!#REF!</definedName>
    <definedName name="_bdm.FF6CFCDC65EC4615A9B67519CC6F83BE.edm" localSheetId="6" hidden="1">'DCF input'!$F$7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 localSheetId="5">#REF!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 localSheetId="5">#REF!</definedName>
    <definedName name="FX_CASE_1">#REF!</definedName>
    <definedName name="FX_CASE_2" localSheetId="5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 localSheetId="5">#REF!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_xlnm.Print_Area" localSheetId="5">' Financials'!$B$2:$W$80</definedName>
    <definedName name="_xlnm.Print_Area" localSheetId="3">Assumptions!$B$2:$L$25</definedName>
    <definedName name="_xlnm.Print_Area" localSheetId="1">'Cover sheet'!$B$2:$U$44</definedName>
    <definedName name="_xlnm.Print_Area" localSheetId="6">'DCF input'!$B$2:$U$128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 localSheetId="5">#REF!</definedName>
    <definedName name="range_16">#REF!</definedName>
    <definedName name="range_17" localSheetId="5">#REF!</definedName>
    <definedName name="range_17">#REF!</definedName>
    <definedName name="range_18" localSheetId="5">#REF!</definedName>
    <definedName name="range_18">#REF!</definedName>
    <definedName name="range_2">#REF!</definedName>
    <definedName name="range_FF">#REF!</definedName>
    <definedName name="Range_Financials" localSheetId="5">' Financials'!#REF!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 localSheetId="5">#REF!</definedName>
    <definedName name="S1_BUYBACK_CASE">#REF!</definedName>
    <definedName name="S1_CRSO_CASE" localSheetId="5">#REF!</definedName>
    <definedName name="S1_CRSO_CASE">#REF!</definedName>
    <definedName name="S1_EQUITY_RAISE_METHOD" localSheetId="5">#REF!</definedName>
    <definedName name="S1_EQUITY_RAISE_METHOD">#REF!</definedName>
    <definedName name="S1_RATINGS_CASE" localSheetId="5">#REF!</definedName>
    <definedName name="S1_RATINGS_CASE">#REF!</definedName>
    <definedName name="S1_WINECO_CASE" localSheetId="5">#REF!</definedName>
    <definedName name="S1_WINECO_CASE">#REF!</definedName>
    <definedName name="S2_BUYBACK_CASE" localSheetId="5">#REF!</definedName>
    <definedName name="S2_BUYBACK_CASE">#REF!</definedName>
    <definedName name="S2_EQUITY_RAISE_METHOD" localSheetId="5">#REF!</definedName>
    <definedName name="S2_EQUITY_RAISE_METHOD">#REF!</definedName>
    <definedName name="S2_RATINGS_CASE" localSheetId="5">#REF!</definedName>
    <definedName name="S2_RATINGS_CASE">#REF!</definedName>
    <definedName name="S3_EQUITY_RAISE_METHOD" localSheetId="5">#REF!</definedName>
    <definedName name="S3_EQUITY_RAISE_METHOD">#REF!</definedName>
    <definedName name="SAB_FINS_CASE" localSheetId="5">#REF!</definedName>
    <definedName name="SAB_FINS_CASE">#REF!</definedName>
    <definedName name="SAB_SP" localSheetId="5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 localSheetId="5">#REF!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</definedName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JPMorgan Chase &amp; Co.</author>
  </authors>
  <commentList>
    <comment ref="A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Soni, Sushant</author>
  </authors>
  <commentList>
    <comment ref="D1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5/35 FS 1H20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Chauhan, Soumya</author>
    <author>Sukant Gupta</author>
    <author>Soni, Sushant</author>
    <author>Yates, James</author>
    <author>Pranav</author>
  </authors>
  <commentList>
    <comment ref="F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G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H9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I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J9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K9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Q13" authorId="0" shapeId="0" xr:uid="{00000000-0006-0000-0500-000007000000}">
      <text>
        <r>
          <rPr>
            <b/>
            <sz val="9"/>
            <color rgb="FF000000"/>
            <rFont val="Tahoma"/>
            <family val="2"/>
          </rPr>
          <t>Chauhan, Soumya: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Assumed growth</t>
        </r>
      </text>
    </comment>
    <comment ref="V13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18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22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% based on last 15 years average</t>
        </r>
      </text>
    </comment>
    <comment ref="K2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L29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M29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F31" authorId="1" shapeId="0" xr:uid="{00000000-0006-0000-0500-00000E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42/118 ARF15</t>
        </r>
      </text>
    </comment>
    <comment ref="G31" authorId="1" shapeId="0" xr:uid="{00000000-0006-0000-0500-00000F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38 (42/126) ARF16</t>
        </r>
      </text>
    </comment>
    <comment ref="H31" authorId="1" shapeId="0" xr:uid="{00000000-0006-0000-0500-000010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128/152 ARF17</t>
        </r>
      </text>
    </comment>
    <comment ref="I31" authorId="1" shapeId="0" xr:uid="{00000000-0006-0000-0500-000011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J31" authorId="1" shapeId="0" xr:uid="{00000000-0006-0000-0500-000012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K31" authorId="2" shapeId="0" xr:uid="{00000000-0006-0000-0500-000013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15/29 FS FY19</t>
        </r>
      </text>
    </comment>
    <comment ref="C45" authorId="3" shapeId="0" xr:uid="{00000000-0006-0000-0500-000014000000}">
      <text>
        <r>
          <rPr>
            <b/>
            <sz val="9"/>
            <color indexed="81"/>
            <rFont val="Tahoma"/>
            <family val="2"/>
          </rPr>
          <t>Change in inventories, receivables and payables</t>
        </r>
      </text>
    </comment>
    <comment ref="Q47" authorId="4" shapeId="0" xr:uid="{00000000-0006-0000-0500-00001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Earlier 0%</t>
        </r>
      </text>
    </comment>
    <comment ref="Q53" authorId="4" shapeId="0" xr:uid="{00000000-0006-0000-0500-00001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no further exceptional</t>
        </r>
      </text>
    </comment>
  </commentList>
</comments>
</file>

<file path=xl/sharedStrings.xml><?xml version="1.0" encoding="utf-8"?>
<sst xmlns="http://schemas.openxmlformats.org/spreadsheetml/2006/main" count="280" uniqueCount="169">
  <si>
    <t>% growth</t>
  </si>
  <si>
    <t>% margin</t>
  </si>
  <si>
    <t>Revenue</t>
  </si>
  <si>
    <t>EBITDA</t>
  </si>
  <si>
    <t>D&amp;A</t>
  </si>
  <si>
    <t>EBIT</t>
  </si>
  <si>
    <t>% tax rate</t>
  </si>
  <si>
    <t>Capex</t>
  </si>
  <si>
    <t>% capex</t>
  </si>
  <si>
    <t>Transaction date</t>
  </si>
  <si>
    <t>Tax</t>
  </si>
  <si>
    <t>Sensitivity analysis</t>
  </si>
  <si>
    <t>Offer price (p)</t>
  </si>
  <si>
    <t>Summary financials</t>
  </si>
  <si>
    <t>p_price</t>
  </si>
  <si>
    <t>Cashflow statement</t>
  </si>
  <si>
    <t>Income statement</t>
  </si>
  <si>
    <t>Assumptions</t>
  </si>
  <si>
    <t>Circular switch</t>
  </si>
  <si>
    <t>Estimates</t>
  </si>
  <si>
    <t xml:space="preserve">S T R I C T L Y    P R I V A T E    A N D    C O N F I D E N T I A L </t>
  </si>
  <si>
    <t>(%)</t>
  </si>
  <si>
    <t>Enterprise value calculation</t>
  </si>
  <si>
    <t>Total revenue</t>
  </si>
  <si>
    <t>% sales</t>
  </si>
  <si>
    <t>Depreciation and amortisation</t>
  </si>
  <si>
    <t>Change in Working Capital</t>
  </si>
  <si>
    <t>% D&amp;A</t>
  </si>
  <si>
    <t>% premium to current</t>
  </si>
  <si>
    <t>DCF</t>
  </si>
  <si>
    <t>Key assumptions</t>
  </si>
  <si>
    <t>Next financial YE</t>
  </si>
  <si>
    <t>Perpetuity growth rate</t>
  </si>
  <si>
    <t>TV exit EBITDA multiple</t>
  </si>
  <si>
    <t>WACC used for sensitivity analysis</t>
  </si>
  <si>
    <t>WACC</t>
  </si>
  <si>
    <t>DCF FCF Calculation</t>
  </si>
  <si>
    <t>% of capex</t>
  </si>
  <si>
    <t>EBIAT</t>
  </si>
  <si>
    <t>Change in working capital</t>
  </si>
  <si>
    <t>FCF</t>
  </si>
  <si>
    <t>FCF for discounting</t>
  </si>
  <si>
    <t>Days to cashflow</t>
  </si>
  <si>
    <t>Discount factor</t>
  </si>
  <si>
    <t>Terminal value</t>
  </si>
  <si>
    <t>Perpetuity growth portion</t>
  </si>
  <si>
    <t>Exit EBITDA multiple</t>
  </si>
  <si>
    <t>Perpetuity growth method</t>
  </si>
  <si>
    <t>Exit EBITDA multiple method</t>
  </si>
  <si>
    <t>Present value</t>
  </si>
  <si>
    <t>PV of FCF</t>
  </si>
  <si>
    <t>PV of Terminal Value</t>
  </si>
  <si>
    <t>Enterprise value</t>
  </si>
  <si>
    <t>Spread rates and step-up</t>
  </si>
  <si>
    <t>Perptuity growth rate step-up</t>
  </si>
  <si>
    <t>EBITDA multiple</t>
  </si>
  <si>
    <t>EBITDA multiple step-up</t>
  </si>
  <si>
    <t>WACC step-up</t>
  </si>
  <si>
    <t>Perpetuity growth rate analysis</t>
  </si>
  <si>
    <t>EBITDA multiple analysis</t>
  </si>
  <si>
    <t>WACC (%)</t>
  </si>
  <si>
    <t>Perpetuity growth rate (%)</t>
  </si>
  <si>
    <t>Exit EBITDA multiple (x)</t>
  </si>
  <si>
    <t>Stub period</t>
  </si>
  <si>
    <t>Share price</t>
  </si>
  <si>
    <t>Tax rate</t>
  </si>
  <si>
    <t>NOSH (m)</t>
  </si>
  <si>
    <t>Net debt &amp; adjustments</t>
  </si>
  <si>
    <t>Equity value</t>
  </si>
  <si>
    <t>March Y/E</t>
  </si>
  <si>
    <t>Stub factor</t>
  </si>
  <si>
    <t>+D&amp;A</t>
  </si>
  <si>
    <t>+Change in working capital</t>
  </si>
  <si>
    <t>This sheet contains FactSet XML data for use with this workbook's =FDS codes.  Modifying the worksheet's contents may damage the workbook's =FDS functionality.</t>
  </si>
  <si>
    <t>Last Historical FYE</t>
  </si>
  <si>
    <t>Change in NWC</t>
  </si>
  <si>
    <t>Actuals</t>
  </si>
  <si>
    <t>% forecast growth</t>
  </si>
  <si>
    <t>% forecast margin</t>
  </si>
  <si>
    <t>DCF output</t>
  </si>
  <si>
    <t>Summary financials and cashflow</t>
  </si>
  <si>
    <t>DCF Forecast Year</t>
  </si>
  <si>
    <t>TV</t>
  </si>
  <si>
    <t>% of revenue</t>
  </si>
  <si>
    <t>Tax on EBIT</t>
  </si>
  <si>
    <t>Unlevered free cash flow</t>
  </si>
  <si>
    <t>Cashflow Timing (Years to Discount)</t>
  </si>
  <si>
    <t>Discount Factor</t>
  </si>
  <si>
    <t>Discounted DCF cashflows</t>
  </si>
  <si>
    <t>Net Present Value based on Perpetuity Growth Method</t>
  </si>
  <si>
    <t>Amount</t>
  </si>
  <si>
    <t xml:space="preserve">% of </t>
  </si>
  <si>
    <t>NPV</t>
  </si>
  <si>
    <t>Perpetuity Growth Rate (%)</t>
  </si>
  <si>
    <t>Present Value of Cashflows</t>
  </si>
  <si>
    <t>Implied Firm NPV</t>
  </si>
  <si>
    <t>Implied equity value</t>
  </si>
  <si>
    <t>FY21</t>
  </si>
  <si>
    <t>FY22</t>
  </si>
  <si>
    <t>FY23</t>
  </si>
  <si>
    <t>FY24</t>
  </si>
  <si>
    <t>YoY growth %</t>
  </si>
  <si>
    <t>GM%</t>
  </si>
  <si>
    <t>Opex</t>
  </si>
  <si>
    <t>Operating profit</t>
  </si>
  <si>
    <t>Operating margin %</t>
  </si>
  <si>
    <t>Interest and Amortisation</t>
  </si>
  <si>
    <t>Group PBT (Underlying)</t>
  </si>
  <si>
    <t>Exceptionals</t>
  </si>
  <si>
    <t>Group PBT post exceptionals</t>
  </si>
  <si>
    <t>Add back: Interest</t>
  </si>
  <si>
    <t>Add back: Amortisation</t>
  </si>
  <si>
    <t>Add back: Depreciation</t>
  </si>
  <si>
    <t>EBITDA post exceptionals</t>
  </si>
  <si>
    <t>Adjust for non-cash exceptionals</t>
  </si>
  <si>
    <t>Acquisition</t>
  </si>
  <si>
    <t>Interest</t>
  </si>
  <si>
    <t xml:space="preserve">Working Capital </t>
  </si>
  <si>
    <t>Dividend</t>
  </si>
  <si>
    <t>Other</t>
  </si>
  <si>
    <t>Net Cash flow</t>
  </si>
  <si>
    <t>Free Cash Flow</t>
  </si>
  <si>
    <t>Opening Net Debt</t>
  </si>
  <si>
    <t>Closing Net Debt</t>
  </si>
  <si>
    <t>Net debt : EBITDA</t>
  </si>
  <si>
    <t>% Cash conversion</t>
  </si>
  <si>
    <t>Management case</t>
  </si>
  <si>
    <t>Other Cashflows</t>
  </si>
  <si>
    <t>Exceptional items</t>
  </si>
  <si>
    <t>+ Maintenance capex</t>
  </si>
  <si>
    <t>+ Exceptional cash flows</t>
  </si>
  <si>
    <t>+ Other cash flows</t>
  </si>
  <si>
    <t>% revenue</t>
  </si>
  <si>
    <t>Current share price (c)</t>
  </si>
  <si>
    <t>Market cap ($m)</t>
  </si>
  <si>
    <t>Net debt / (cash) ($m)</t>
  </si>
  <si>
    <t>Minority interests ($m)</t>
  </si>
  <si>
    <t>Pension liability ($m)</t>
  </si>
  <si>
    <t>Investment in associates ($m)</t>
  </si>
  <si>
    <t>($m)</t>
  </si>
  <si>
    <t>Enterprise value ($m)</t>
  </si>
  <si>
    <t>Mar YE ($m)</t>
  </si>
  <si>
    <t>Sensitising firm value ($m) and implied offer price to WACC and TGR</t>
  </si>
  <si>
    <t>GP $</t>
  </si>
  <si>
    <t>On / off</t>
  </si>
  <si>
    <t xml:space="preserve">5 Year Plan </t>
  </si>
  <si>
    <t>Implied share price ($c)</t>
  </si>
  <si>
    <t>x</t>
  </si>
  <si>
    <t>Net income</t>
  </si>
  <si>
    <t>&lt;&lt;&lt; include growth rates trending to 1% by 2030</t>
  </si>
  <si>
    <t>&lt;&lt;&lt; include growth rates trending to 9% by 2030</t>
  </si>
  <si>
    <t>&lt;&lt;&lt; assume tax rate same as 2021</t>
  </si>
  <si>
    <t>&lt;&lt;&lt; Put down the assumptions after discussing with your senior</t>
  </si>
  <si>
    <t>Below fill in the blanks by linking from the Financials tab</t>
  </si>
  <si>
    <t>&lt;&lt;&lt; link from financials tab</t>
  </si>
  <si>
    <t>&lt;&lt;&lt; express % vs capex, and for years 2025 onwards include growth rates trending to 95% by 2030</t>
  </si>
  <si>
    <t>&lt;&lt;&lt; link from financials tab and for 2025 onwards express change in working capital as % sales</t>
  </si>
  <si>
    <t>&lt;&lt;&lt; link from financials tab and for 2025 onwards assume same as last year forecasts given by the company</t>
  </si>
  <si>
    <t>&lt;&lt;&lt; link from financials tab and for 2025 onwards assume same as last year's forecast given by the company</t>
  </si>
  <si>
    <t>update formula, growth is expressed vs previous year and margin is vs sales</t>
  </si>
  <si>
    <t>&lt;&lt; EBIT*tax rate</t>
  </si>
  <si>
    <t>&lt;&lt; EBIT+tax</t>
  </si>
  <si>
    <t>&lt;&lt;add EBIT+D&amp;A+Capex(-ve)+Change in WC (-ve)+other cashflows +exceptional items</t>
  </si>
  <si>
    <t xml:space="preserve">update as noted </t>
  </si>
  <si>
    <t>EV ($m)</t>
  </si>
  <si>
    <t>Tap &amp; Turf Holdings Pty Ltd — MODEL</t>
  </si>
  <si>
    <t>Forecast</t>
  </si>
  <si>
    <t>Tap &amp; Turf Holdings Pty Ltd - Actuals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</si>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</sst>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3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(&quot;£&quot;* #,##0_);_(&quot;£&quot;* \(#,##0\);_(&quot;£&quot;* &quot;-&quot;_);_(@_)"/>
    <numFmt numFmtId="166" formatCode="#,##0.0_);\(#,##0.0\)"/>
    <numFmt numFmtId="167" formatCode="0.0%;\(0.0%\)"/>
    <numFmt numFmtId="168" formatCode="yyyy&quot;A&quot;"/>
    <numFmt numFmtId="169" formatCode="yyyy&quot;E&quot;"/>
    <numFmt numFmtId="170" formatCode="0.00%;\(0.00%\)"/>
    <numFmt numFmtId="171" formatCode="#,##0.000_);\(#,##0.000\)"/>
    <numFmt numFmtId="172" formatCode="#,##0;[Red]\(#,##0\)"/>
    <numFmt numFmtId="173" formatCode="_-* #,##0_-;\-* #,##0_-;_-* &quot;-&quot;??_-;_-@_-"/>
    <numFmt numFmtId="174" formatCode="0.0%"/>
    <numFmt numFmtId="175" formatCode="#,##0;\(#,##0\)"/>
    <numFmt numFmtId="176" formatCode="#,##0.0;\(#,##0.0\)"/>
    <numFmt numFmtId="177" formatCode="yyyy\A"/>
    <numFmt numFmtId="178" formatCode="_(* #,##0.0_);_(* \(#,##0.0\);_(* &quot;-&quot;??_);_(@_)"/>
    <numFmt numFmtId="179" formatCode="#,###_);\(#,###\)"/>
    <numFmt numFmtId="180" formatCode="#,##0.0_);\(#,##0.0\);\-_);@_)"/>
    <numFmt numFmtId="181" formatCode="0.0_)"/>
    <numFmt numFmtId="182" formatCode="_(* #,##0.00000_);_(* \(#,##0.00000\);_(* &quot;-&quot;??_);_(@_)"/>
    <numFmt numFmtId="183" formatCode="#.##000"/>
    <numFmt numFmtId="184" formatCode="\$#,#00"/>
    <numFmt numFmtId="185" formatCode=";;;"/>
    <numFmt numFmtId="186" formatCode="mmmddyyyy"/>
    <numFmt numFmtId="187" formatCode="_(* #,##0.000_);_(* \(#,##0.000\);_(* &quot;-&quot;??_);_(@_)"/>
    <numFmt numFmtId="188" formatCode="0.0000"/>
    <numFmt numFmtId="189" formatCode="#,##0.00_)&quot;x&quot;;[Red]\(#,##0.00\)&quot;x&quot;"/>
    <numFmt numFmtId="190" formatCode="#,##0.0_);\(#,##0.0\);#,##0.0_);@_)"/>
    <numFmt numFmtId="191" formatCode="&quot;$&quot;_(#,##0.00_);&quot;$&quot;\(#,##0.00\)"/>
    <numFmt numFmtId="192" formatCode="_(&quot;€&quot;* #,##0.0000_);_(&quot;€&quot;* \(#,##0.0000\);_(&quot;€&quot;* &quot;-&quot;??_);_(@_)"/>
    <numFmt numFmtId="193" formatCode="&quot;€&quot;#,##0.00"/>
    <numFmt numFmtId="194" formatCode="mmm\-d\-yy"/>
    <numFmt numFmtId="195" formatCode="_(&quot;€&quot;* #,##0.00_);_(&quot;€&quot;* \(#,##0.00\);_(&quot;€&quot;* &quot;-&quot;??_);_(@_)"/>
    <numFmt numFmtId="196" formatCode="0.0"/>
    <numFmt numFmtId="197" formatCode="0.000%;[Red]\(0.000%\)"/>
    <numFmt numFmtId="198" formatCode="_(* #,##0_);_(* \(#,##0\)"/>
    <numFmt numFmtId="199" formatCode="0.000%;;&quot;-- &quot;"/>
    <numFmt numFmtId="200" formatCode="#,##0.0_)\x;\(#,##0.0\)\x"/>
    <numFmt numFmtId="201" formatCode="#,##0_)\x;\(#,##0\)\x;0_)\x;@_)_x"/>
    <numFmt numFmtId="202" formatCode="%#,#00"/>
    <numFmt numFmtId="203" formatCode="0.0&quot;%&quot;_;\(0.0\)&quot;%&quot;"/>
    <numFmt numFmtId="204" formatCode="#,##0.0_)_x;\(#,##0.0\)_x"/>
    <numFmt numFmtId="205" formatCode="#,##0_)_x;\(#,##0\)_x;0_)_x;@_)_x"/>
    <numFmt numFmtId="206" formatCode="#,"/>
    <numFmt numFmtId="207" formatCode="#,##0.00\p;\(#,##0.00\p\)"/>
    <numFmt numFmtId="208" formatCode="_-* #,##0.00\ [$€-1]_-;\-* #,##0.00\ [$€-1]_-;_-* &quot;-&quot;??\ [$€-1]_-"/>
    <numFmt numFmtId="209" formatCode="0.0&quot;%&quot;;\(0.0\)&quot;%&quot;"/>
    <numFmt numFmtId="210" formatCode="#,##0;[Red]&quot;-&quot;#,##0"/>
    <numFmt numFmtId="211" formatCode="\£#,##0.0;\(\£#,##0.0\);\£#,##0.0"/>
    <numFmt numFmtId="212" formatCode="0.0_)\%;\(0.0\)\%"/>
    <numFmt numFmtId="213" formatCode="#,##0.0_)_%;\(#,##0.0\)_%"/>
    <numFmt numFmtId="214" formatCode="#,##0;\(#,##0\);&quot;-&quot;"/>
    <numFmt numFmtId="215" formatCode="0.0_);\(0.0\)"/>
    <numFmt numFmtId="216" formatCode="_(&quot;€&quot;* #,##0_);_(&quot;€&quot;* \(#,##0\);_(&quot;€&quot;* &quot;-&quot;_);_(@_)"/>
    <numFmt numFmtId="217" formatCode="&quot;$&quot;#.#"/>
    <numFmt numFmtId="218" formatCode="\£\ #,##0_);[Red]\(\£\ #,##0\)"/>
    <numFmt numFmtId="219" formatCode="\¥\ #,##0_);[Red]\(\¥\ #,##0\)"/>
    <numFmt numFmtId="220" formatCode="#,##0.0&quot;¢&quot;;\-#,##0.0&quot;¢&quot;"/>
    <numFmt numFmtId="221" formatCode="#,##0.0_);[Red]\(#,##0.0\)"/>
    <numFmt numFmtId="222" formatCode="\•\ \ @"/>
    <numFmt numFmtId="223" formatCode="\ \ _•\–\ \ \ \ @"/>
    <numFmt numFmtId="224" formatCode="0.000_)"/>
    <numFmt numFmtId="225" formatCode="0.000%"/>
    <numFmt numFmtId="226" formatCode="_(\£* #,##0_);_(\£* \(#,##0\);_(\£* &quot;-&quot;_);_(@_)"/>
    <numFmt numFmtId="227" formatCode="_(\£* #,##0.0_);_(\£* \(#,##0.0\);_(\£* &quot;-&quot;_);_(@_)"/>
    <numFmt numFmtId="228" formatCode="_(\£* #,##0.00_);_(\£* \(#,##0.00\);_(\£* &quot;-&quot;_);_(@_)"/>
    <numFmt numFmtId="229" formatCode="_(* #,##0\p_);_(* \(#,##0\p\);_(* &quot;-&quot;\ \p_);_(@_)"/>
    <numFmt numFmtId="230" formatCode="_(* #,##0.00\p_);_(* \(#,##0.00\p\);_(* &quot;-&quot;\ \p_);_(@_)"/>
    <numFmt numFmtId="231" formatCode="\£#,##0.00"/>
    <numFmt numFmtId="232" formatCode="#,##0.00\x;\(#,##0.00\)\x"/>
    <numFmt numFmtId="233" formatCode="0_);\(0\)"/>
    <numFmt numFmtId="234" formatCode="#,##0_);[Red]\(#,##0\);&quot;--  &quot;"/>
    <numFmt numFmtId="235" formatCode="0.0%;[Red]\(0.0%\);&quot;--  &quot;"/>
    <numFmt numFmtId="236" formatCode="&quot;Esc &quot;#,##0\ \b\n;\(#,##0\)"/>
    <numFmt numFmtId="237" formatCode="&quot;$&quot;#,##0.00&quot;A&quot;;[Red]\(&quot;$&quot;#,##0.00\)&quot;A&quot;"/>
    <numFmt numFmtId="238" formatCode="&quot;$&quot;#,##0.00&quot;E&quot;;[Red]\(&quot;$&quot;#,##0.00\)&quot;E&quot;"/>
    <numFmt numFmtId="239" formatCode="&quot;$&quot;#,##0.00000000000000000000000000_);[Red]\(&quot;$&quot;#,##0.00000000000000000000000000\)"/>
    <numFmt numFmtId="240" formatCode="_-[$€]* #,##0.00_-;\-[$€]* #,##0.00_-;_-[$€]* &quot;-&quot;??_-;_-@_-"/>
    <numFmt numFmtId="241" formatCode="#,##0;\(#,##0\);\—"/>
    <numFmt numFmtId="242" formatCode="_(* #,##0_);_(* \(#,##0\);_(* &quot;-&quot;??_);_(@_)"/>
    <numFmt numFmtId="243" formatCode="#,##0.0;[Red]\(#,##0.0\)"/>
    <numFmt numFmtId="244" formatCode="#,##0.0000_);\(#,##0.0000\);@_)"/>
    <numFmt numFmtId="245" formatCode="#,##0_);\(#,##0\);\-_)"/>
    <numFmt numFmtId="246" formatCode="#,##0_);\(#,##0\);0_)"/>
    <numFmt numFmtId="247" formatCode="#,##0.0000000000;\(#,##0.0000000000\)"/>
    <numFmt numFmtId="248" formatCode="#,##0.0_);\(#,##0.0\);0.0_)"/>
    <numFmt numFmtId="249" formatCode="#,##0_);\(#,##0\);@_)"/>
    <numFmt numFmtId="250" formatCode="_-&quot;kb/d&quot;* #,##0.00_-;\-&quot;kb/d&quot;* #,##0.00_-;_-&quot;k/bd&quot;* &quot;-&quot;??_-;_-@_-"/>
    <numFmt numFmtId="251" formatCode="###0_);\(###0\);\-_);@_)"/>
    <numFmt numFmtId="252" formatCode="#,##0.0&quot;x&quot;;\(#,##0.0&quot;x&quot;\)"/>
    <numFmt numFmtId="253" formatCode="#,##0_);\(#,##0\);\-_);@_)"/>
    <numFmt numFmtId="254" formatCode="0.0%;\(0.0\)%;\—\%"/>
    <numFmt numFmtId="255" formatCode="0_)"/>
    <numFmt numFmtId="256" formatCode="\$#,##0;\(\$#,##0\);\-\ 0\ \-;[Red]@"/>
    <numFmt numFmtId="257" formatCode="0.00_);\(0.00\)"/>
    <numFmt numFmtId="258" formatCode="&quot;£&quot;#,##0_);&quot;£&quot;\(#,##0\);&quot;£&quot;#,##0_);@_)"/>
    <numFmt numFmtId="259" formatCode="#,##0.0;\(#,##0.0\);&quot;OK&quot;"/>
    <numFmt numFmtId="260" formatCode="0&quot; bp&quot;"/>
    <numFmt numFmtId="261" formatCode="_-* #,##0\ &quot;Pts&quot;_-;\-* #,##0\ &quot;Pts&quot;_-;_-* &quot;-&quot;\ &quot;Pts&quot;_-;_-@_-"/>
    <numFmt numFmtId="262" formatCode="_-* #,##0\ _P_t_s_-;\-* #,##0\ _P_t_s_-;_-* &quot;-&quot;\ _P_t_s_-;_-@_-"/>
    <numFmt numFmtId="263" formatCode="_-* #,##0.00\ &quot;Pts&quot;_-;\-* #,##0.00\ &quot;Pts&quot;_-;_-* &quot;-&quot;??\ &quot;Pts&quot;_-;_-@_-"/>
    <numFmt numFmtId="264" formatCode="&quot;Proj &quot;0;;"/>
    <numFmt numFmtId="265" formatCode="#,##0.000"/>
    <numFmt numFmtId="266" formatCode="&quot;£ &quot;#,##0.00;[Red]\(&quot;£ &quot;#,##0.00\);&quot;--  &quot;;_(@_)"/>
    <numFmt numFmtId="267" formatCode="#,##0.0%_);\(#,##0.0%\)"/>
    <numFmt numFmtId="268" formatCode="#\ ##0.0"/>
    <numFmt numFmtId="269" formatCode="#,##0_);\(#,##0\);&quot;-&quot;?"/>
    <numFmt numFmtId="270" formatCode="#,##0.00_);\(#,##0.00\);&quot;-&quot;?"/>
    <numFmt numFmtId="271" formatCode="#,##0.00&quot;x&quot;;[Red]\(#,##0.00&quot;x&quot;\)"/>
    <numFmt numFmtId="272" formatCode="0.0\x"/>
    <numFmt numFmtId="273" formatCode="#,##0.00_);\(#,##0.00\);0.00_)"/>
    <numFmt numFmtId="274" formatCode="General_)"/>
    <numFmt numFmtId="275" formatCode="#,##0.0"/>
    <numFmt numFmtId="276" formatCode="&quot;$&quot;#,##0.00_);[Red]\(&quot;$&quot;#,##0.00\);&quot;--  &quot;;_(@_)"/>
    <numFmt numFmtId="277" formatCode="&quot;€&quot;#,##0.00_);\(&quot;€&quot;#,##0.00\)"/>
    <numFmt numFmtId="278" formatCode="0.0%_);\(0.0%\)"/>
    <numFmt numFmtId="279" formatCode="&quot;EUR &quot;#,##0.0_);\(&quot;EUR &quot;#,##0.0\)"/>
    <numFmt numFmtId="280" formatCode="0.0%_);[Red]\(0.0%\)"/>
    <numFmt numFmtId="281" formatCode="_-\€* #,##0_-;\-&quot;£&quot;* #,##0_-;_-&quot;£&quot;* &quot;-&quot;_-;_-@_-"/>
    <numFmt numFmtId="282" formatCode="_-* #,##0.00\ _P_t_s_-;\-* #,##0.00\ _P_t_s_-;_-* &quot;-&quot;??\ _P_t_s_-;_-@_-"/>
    <numFmt numFmtId="283" formatCode="###0_);\(###0\);"/>
    <numFmt numFmtId="284" formatCode="_ * #,##0.00_-\ &quot;€&quot;_ ;_ * #,##0.00\-\ &quot;€&quot;_ ;_ * &quot;-&quot;??_-\ &quot;€&quot;_ ;_ @_ "/>
    <numFmt numFmtId="285" formatCode="0&quot;E&quot;"/>
    <numFmt numFmtId="286" formatCode="#,##0.00_x"/>
    <numFmt numFmtId="287" formatCode="&quot;$&quot;#\ ?/?"/>
    <numFmt numFmtId="288" formatCode="0&quot; mos&quot;"/>
    <numFmt numFmtId="289" formatCode="mmm\-d\-yyyy"/>
    <numFmt numFmtId="290" formatCode="mmm\-yyyy"/>
    <numFmt numFmtId="291" formatCode="0_);\(0\);\-_);@_)"/>
    <numFmt numFmtId="292" formatCode="_-* #,##0.00\ _F_-;\-* #,##0.00\ _F_-;_-* &quot;-&quot;??\ _F_-;_-@_-"/>
    <numFmt numFmtId="293" formatCode="0.00%;[Red]\ \(0.00%\)"/>
    <numFmt numFmtId="294" formatCode="0\ &quot;mos&quot;"/>
    <numFmt numFmtId="295" formatCode="0_);[Red]\(0\)"/>
    <numFmt numFmtId="296" formatCode="0.000"/>
    <numFmt numFmtId="297" formatCode="&quot;$&quot;#,##0.0;[Red]\(&quot;$&quot;#,##0.0\)"/>
    <numFmt numFmtId="298" formatCode="\$#,##0_);\$\(#,##0\);_-* &quot;--&quot;_-;_-@_-"/>
    <numFmt numFmtId="299" formatCode="\$#,##0.0_);\$\(#,##0.0\);_-* &quot;--&quot;_-;_-@_-"/>
    <numFmt numFmtId="300" formatCode="#,##0.0,_);\(#,##0.0,\)"/>
    <numFmt numFmtId="301" formatCode="#,##0.0_);\(#,##0.0\);@*."/>
    <numFmt numFmtId="302" formatCode="#,#00"/>
    <numFmt numFmtId="303" formatCode="0.0&quot;x&quot;;@_)"/>
    <numFmt numFmtId="304" formatCode="#,##0.0%_);\(#,##0.0%\);0.0%_)"/>
    <numFmt numFmtId="305" formatCode="#,##0.000000"/>
    <numFmt numFmtId="306" formatCode="0.0%;[Red]\(0.0%\)"/>
    <numFmt numFmtId="307" formatCode="#,##0.00_)\ \x;\(#,##0.00\)\ \x"/>
    <numFmt numFmtId="308" formatCode="&quot;$&quot;#,##0.00;[Red]&quot;$&quot;\-#,##0.00"/>
    <numFmt numFmtId="309" formatCode="0.00\x"/>
    <numFmt numFmtId="310" formatCode="&quot;Proj &quot;0"/>
    <numFmt numFmtId="311" formatCode="#,##0.0%;\(#,##0.0%\)"/>
    <numFmt numFmtId="312" formatCode="#,##0.00;\(#,##0.00\)"/>
    <numFmt numFmtId="313" formatCode="_ \ * #,##0.0_);_ \ * \(#,##0.0\)"/>
    <numFmt numFmtId="314" formatCode="0.0%;[Red]\ \(0.0%\)"/>
    <numFmt numFmtId="315" formatCode="_-* #,##0.00\ _D_M_-;\-* #,##0.00\ _D_M_-;_-* &quot;-&quot;??\ _D_M_-;_-@_-"/>
    <numFmt numFmtId="316" formatCode="&quot;$&quot;#,##0.0_);\(&quot;$&quot;#,##0.0\)"/>
    <numFmt numFmtId="317" formatCode="#,##0.0,,_);\(#,##0.0,,\)"/>
    <numFmt numFmtId="318" formatCode="#,##0.0\x_);\(#,##0.0\x\)"/>
    <numFmt numFmtId="319" formatCode="#,##0%_);\(#,##0%\)"/>
    <numFmt numFmtId="320" formatCode="&quot;$&quot;#,##0.000_);[Red]\(&quot;$&quot;#,##0.000\);&quot;--  &quot;;_(@_)"/>
    <numFmt numFmtId="321" formatCode="_(* #,##0\ \x_);_(* \(#,##0\ \x\);_(* &quot;-&quot;??_);_(@_)"/>
    <numFmt numFmtId="322" formatCode="0.0%_);\(0.0%\);0.0%_);@_)"/>
    <numFmt numFmtId="323" formatCode="0.0\x_);\(0.0\x\);0.0\x_);@_)"/>
    <numFmt numFmtId="324" formatCode="0.00%_);\(0.00%\);0.00%_);@_)"/>
    <numFmt numFmtId="325" formatCode="m/d/yy"/>
    <numFmt numFmtId="326" formatCode="&quot;$&quot;_(#,##0.00_);&quot;$&quot;\(#,##0.00\);&quot;$&quot;_(0.00_);@_)"/>
    <numFmt numFmtId="327" formatCode="0.0%_);\(0.0%\);\ \-\-\ "/>
    <numFmt numFmtId="328" formatCode="#,##0.00_);\(#,##0.00\);0.00_);@_)"/>
    <numFmt numFmtId="329" formatCode="&quot;£&quot;_(#,##0.00_);&quot;£&quot;\(#,##0.00\)"/>
    <numFmt numFmtId="330" formatCode="0.00&quot;      &quot;"/>
    <numFmt numFmtId="331" formatCode="\€_(#,##0.00_);\€\(#,##0.00\);\€_(0.00_);@_)"/>
    <numFmt numFmtId="332" formatCode="&quot;€&quot;_(#,##0.00_);&quot;€&quot;\(#,##0.00\);&quot;€&quot;_(0.00_);@_)"/>
    <numFmt numFmtId="333" formatCode="#,##0.0000;\-#,##0.0000"/>
    <numFmt numFmtId="334" formatCode="_(* #,##0.000_)\ \ ;_(* \(#,##0.000\)\ \ ;_(* &quot;-&quot;??_)\ \ ;_(@_)"/>
    <numFmt numFmtId="335" formatCode="#,##0.00;\(#,##0.00\);\-"/>
    <numFmt numFmtId="336" formatCode="###0&quot;A&quot;"/>
    <numFmt numFmtId="337" formatCode="#,##0.00000;\-#,##0.00000"/>
    <numFmt numFmtId="338" formatCode="0.0&quot;x&quot;\ \ \ \ "/>
    <numFmt numFmtId="339" formatCode="#,##0\ _F;\(#,##0\)\ _F;\-\ _F"/>
    <numFmt numFmtId="340" formatCode="#,##0;\(###0\);\-"/>
    <numFmt numFmtId="341" formatCode="_(* #,##0.0_)\ \ ;_(* \(#,##0.0\)\ \ ;_(* &quot;-&quot;??_)\ \ ;_(@_)"/>
    <numFmt numFmtId="342" formatCode="#,##0\ _F;\(#,##0\)\ _F"/>
    <numFmt numFmtId="343" formatCode="0%_);\(0%\);\ \-\-\ "/>
    <numFmt numFmtId="344" formatCode="&quot;F&quot;#,##0_);\(&quot;F&quot;#,##0\)"/>
    <numFmt numFmtId="345" formatCode="#,##0_)"/>
    <numFmt numFmtId="346" formatCode="0&quot;A&quot;"/>
    <numFmt numFmtId="347" formatCode="0\A"/>
    <numFmt numFmtId="348" formatCode="0.00%&quot; Stock Pooling&quot;"/>
    <numFmt numFmtId="349" formatCode="#,##0_);\(#,##0\);\-_);"/>
    <numFmt numFmtId="350" formatCode="###0.0;\(###0.0\)"/>
    <numFmt numFmtId="351" formatCode="0\ \ ;\(0\)\ \ \ "/>
    <numFmt numFmtId="352" formatCode="_-* #,##0.0\ _F_-;\-* #,##0.0\ _F_-;_-* &quot;-&quot;?\ _F_-;_-@_-"/>
    <numFmt numFmtId="353" formatCode="&quot;$&quot;#,##0.00_)_x_x_x;\(&quot;$&quot;#,##0.00\)_x_x_x"/>
    <numFmt numFmtId="354" formatCode="_-* #,##0.00\ &quot;F&quot;_-;\-* #,##0.00\ &quot;F&quot;_-;_-* &quot;-&quot;??\ &quot;F&quot;_-;_-@_-"/>
    <numFmt numFmtId="355" formatCode="###0.0_);\(###0.0\)"/>
    <numFmt numFmtId="356" formatCode="\+* #,##0.00;[Red]\-* #,##0.00"/>
    <numFmt numFmtId="357" formatCode="\+* #,##0;[Red]\-* #,##0"/>
    <numFmt numFmtId="358" formatCode="#,##0.00_);\(#,##0.00\);#,##0.00_);@_)"/>
    <numFmt numFmtId="359" formatCode="#,##0.0_);\(#,##0.0\);&quot;-  &quot;;@_)"/>
  </numFmts>
  <fonts count="345">
    <font>
      <sz val="10"/>
      <color theme="1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sz val="10"/>
      <color indexed="12"/>
      <name val="Trebuchet MS"/>
      <family val="2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sz val="10"/>
      <color indexed="10"/>
      <name val="Arial"/>
      <family val="2"/>
    </font>
    <font>
      <sz val="15"/>
      <color indexed="8"/>
      <name val="Arial"/>
      <family val="2"/>
    </font>
    <font>
      <b/>
      <u/>
      <sz val="15"/>
      <color indexed="8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color rgb="FF0000FF"/>
      <name val="Arial"/>
      <family val="2"/>
    </font>
    <font>
      <b/>
      <sz val="10"/>
      <color indexed="12"/>
      <name val="Arial"/>
      <family val="2"/>
    </font>
    <font>
      <b/>
      <sz val="18"/>
      <color theme="0"/>
      <name val="Trebuchet MS"/>
      <family val="2"/>
    </font>
    <font>
      <b/>
      <sz val="10"/>
      <color rgb="FFFF0000"/>
      <name val="Arial"/>
      <family val="2"/>
    </font>
    <font>
      <b/>
      <sz val="14"/>
      <color theme="3" tint="-0.499984740745262"/>
      <name val="Trebuchet MS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Century Gothic"/>
      <family val="2"/>
    </font>
    <font>
      <b/>
      <sz val="8"/>
      <name val="Arial"/>
      <family val="2"/>
    </font>
    <font>
      <sz val="10"/>
      <color theme="0"/>
      <name val="Arial"/>
      <family val="2"/>
    </font>
    <font>
      <sz val="10"/>
      <color indexed="23"/>
      <name val="Arial"/>
      <family val="2"/>
    </font>
    <font>
      <sz val="10"/>
      <name val="Trebuchet MS"/>
      <family val="2"/>
    </font>
    <font>
      <b/>
      <sz val="9"/>
      <color indexed="9"/>
      <name val="Trebuchet MS"/>
      <family val="2"/>
    </font>
    <font>
      <sz val="10"/>
      <color indexed="22"/>
      <name val="Arial"/>
      <family val="2"/>
    </font>
    <font>
      <b/>
      <sz val="16"/>
      <name val="Arial"/>
      <family val="2"/>
    </font>
    <font>
      <sz val="12"/>
      <color indexed="8"/>
      <name val="Times New Roman"/>
      <family val="1"/>
    </font>
    <font>
      <sz val="8"/>
      <name val="Times New Roman"/>
      <family val="1"/>
    </font>
    <font>
      <sz val="12"/>
      <name val="Weiss"/>
    </font>
    <font>
      <sz val="10"/>
      <name val="Geneva"/>
      <family val="2"/>
    </font>
    <font>
      <sz val="10"/>
      <name val="Times New Roman"/>
      <family val="1"/>
    </font>
    <font>
      <sz val="10"/>
      <color indexed="8"/>
      <name val="MS Sans Serif"/>
      <family val="2"/>
    </font>
    <font>
      <sz val="12"/>
      <color indexed="12"/>
      <name val="Times New Roman"/>
      <family val="1"/>
    </font>
    <font>
      <sz val="12"/>
      <name val="Times New Roman"/>
      <family val="1"/>
    </font>
    <font>
      <sz val="10"/>
      <color indexed="16"/>
      <name val="Arial"/>
      <family val="2"/>
    </font>
    <font>
      <sz val="12"/>
      <name val="???"/>
      <family val="1"/>
      <charset val="129"/>
    </font>
    <font>
      <b/>
      <sz val="9"/>
      <name val="Arial"/>
      <family val="2"/>
    </font>
    <font>
      <sz val="10"/>
      <name val="Helv"/>
    </font>
    <font>
      <sz val="10"/>
      <color indexed="15"/>
      <name val="Arial"/>
      <family val="2"/>
    </font>
    <font>
      <sz val="10"/>
      <color indexed="18"/>
      <name val="Arial"/>
      <family val="2"/>
    </font>
    <font>
      <sz val="10"/>
      <name val="Courier"/>
      <family val="3"/>
    </font>
    <font>
      <sz val="10"/>
      <color indexed="9"/>
      <name val="False"/>
    </font>
    <font>
      <sz val="10"/>
      <color indexed="12"/>
      <name val="False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8"/>
      <color indexed="8"/>
      <name val="Times New Roman"/>
      <family val="1"/>
    </font>
    <font>
      <sz val="8"/>
      <color indexed="14"/>
      <name val="Times New Roman"/>
      <family val="1"/>
    </font>
    <font>
      <sz val="11"/>
      <name val="Times New Roman"/>
      <family val="1"/>
    </font>
    <font>
      <sz val="10"/>
      <name val="MS Sans Serif"/>
      <family val="2"/>
    </font>
    <font>
      <b/>
      <sz val="11"/>
      <name val="Book Antiqua"/>
      <family val="1"/>
    </font>
    <font>
      <sz val="12"/>
      <name val="Arial MT"/>
    </font>
    <font>
      <b/>
      <sz val="12"/>
      <name val="Times New Roman"/>
      <family val="1"/>
    </font>
    <font>
      <sz val="9"/>
      <name val="Arial"/>
      <family val="2"/>
    </font>
    <font>
      <sz val="8"/>
      <name val="Times"/>
      <family val="1"/>
    </font>
    <font>
      <sz val="10"/>
      <color indexed="12"/>
      <name val="Helvetica"/>
      <family val="2"/>
    </font>
    <font>
      <sz val="10"/>
      <color indexed="10"/>
      <name val="Times New Roman"/>
      <family val="1"/>
    </font>
    <font>
      <b/>
      <sz val="11"/>
      <color indexed="10"/>
      <name val="Times New Roman"/>
      <family val="1"/>
    </font>
    <font>
      <sz val="10"/>
      <color indexed="9"/>
      <name val="Tahoma"/>
      <family val="2"/>
    </font>
    <font>
      <sz val="10"/>
      <name val="Book Antiqua"/>
      <family val="1"/>
    </font>
    <font>
      <u/>
      <sz val="7"/>
      <color indexed="36"/>
      <name val="Frutiger 55 Roman"/>
    </font>
    <font>
      <b/>
      <sz val="8"/>
      <name val="Times New Roman"/>
      <family val="1"/>
    </font>
    <font>
      <b/>
      <sz val="8"/>
      <color indexed="8"/>
      <name val="Times New Roman"/>
      <family val="1"/>
    </font>
    <font>
      <sz val="10"/>
      <color indexed="8"/>
      <name val="Book Antiqua"/>
      <family val="1"/>
    </font>
    <font>
      <strike/>
      <sz val="8"/>
      <name val="Arial"/>
      <family val="2"/>
    </font>
    <font>
      <sz val="8"/>
      <color indexed="8"/>
      <name val="Arial"/>
      <family val="2"/>
    </font>
    <font>
      <b/>
      <i/>
      <sz val="11"/>
      <color indexed="9"/>
      <name val="Times New Roman"/>
      <family val="1"/>
    </font>
    <font>
      <sz val="10"/>
      <color indexed="8"/>
      <name val="Times New Roman"/>
      <family val="1"/>
    </font>
    <font>
      <b/>
      <sz val="9"/>
      <color indexed="9"/>
      <name val="Arial"/>
      <family val="2"/>
    </font>
    <font>
      <sz val="8"/>
      <color indexed="12"/>
      <name val="Tms Rmn"/>
    </font>
    <font>
      <b/>
      <sz val="8"/>
      <color indexed="12"/>
      <name val="Times New Roman"/>
      <family val="1"/>
    </font>
    <font>
      <sz val="8"/>
      <color indexed="9"/>
      <name val="Arial"/>
      <family val="2"/>
    </font>
    <font>
      <b/>
      <i/>
      <u/>
      <sz val="14"/>
      <name val="Arial"/>
      <family val="2"/>
    </font>
    <font>
      <b/>
      <sz val="10"/>
      <name val="Arial Rounded MT Bold"/>
      <family val="2"/>
    </font>
    <font>
      <b/>
      <sz val="8"/>
      <color indexed="8"/>
      <name val="Arial"/>
      <family val="2"/>
    </font>
    <font>
      <b/>
      <i/>
      <sz val="12"/>
      <name val="Times New Roman"/>
      <family val="1"/>
    </font>
    <font>
      <b/>
      <i/>
      <sz val="9"/>
      <name val="Palatino"/>
      <family val="1"/>
    </font>
    <font>
      <i/>
      <sz val="8"/>
      <color indexed="12"/>
      <name val="Arial"/>
      <family val="2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b/>
      <sz val="10"/>
      <color indexed="8"/>
      <name val="Times New Roman"/>
      <family val="1"/>
    </font>
    <font>
      <sz val="24"/>
      <name val="Times New Roman"/>
      <family val="1"/>
    </font>
    <font>
      <sz val="8"/>
      <name val="Tms Rmn"/>
    </font>
    <font>
      <sz val="10"/>
      <color indexed="18"/>
      <name val="Times New Roman"/>
      <family val="1"/>
    </font>
    <font>
      <sz val="6"/>
      <color indexed="10"/>
      <name val="Trebuchet MS"/>
      <family val="2"/>
    </font>
    <font>
      <sz val="8"/>
      <color indexed="39"/>
      <name val="Arial"/>
      <family val="2"/>
    </font>
    <font>
      <b/>
      <sz val="11"/>
      <name val="Times New Roman"/>
      <family val="1"/>
    </font>
    <font>
      <b/>
      <sz val="8"/>
      <name val="Book Antiqua"/>
      <family val="1"/>
    </font>
    <font>
      <b/>
      <sz val="8"/>
      <name val="GillSans"/>
      <family val="2"/>
    </font>
    <font>
      <b/>
      <sz val="7"/>
      <name val="Helvetica-Narrow"/>
      <family val="2"/>
    </font>
    <font>
      <b/>
      <sz val="7"/>
      <name val="GillSans"/>
      <family val="2"/>
    </font>
    <font>
      <b/>
      <sz val="10"/>
      <name val="Times New Roman"/>
      <family val="1"/>
    </font>
    <font>
      <sz val="11"/>
      <color indexed="12"/>
      <name val="Arial"/>
      <family val="2"/>
    </font>
    <font>
      <b/>
      <sz val="9"/>
      <name val="Palatino"/>
      <family val="1"/>
    </font>
    <font>
      <b/>
      <sz val="9"/>
      <color indexed="18"/>
      <name val="Arial"/>
      <family val="2"/>
    </font>
    <font>
      <sz val="11"/>
      <name val="Tms Rmn"/>
      <family val="1"/>
    </font>
    <font>
      <sz val="9"/>
      <name val="Trebuchet MS"/>
      <family val="2"/>
    </font>
    <font>
      <sz val="10"/>
      <color indexed="39"/>
      <name val="Century Schoolbook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Tahoma"/>
      <family val="2"/>
    </font>
    <font>
      <sz val="12"/>
      <name val="Helv"/>
    </font>
    <font>
      <b/>
      <sz val="8"/>
      <color indexed="52"/>
      <name val="Times New Roman"/>
      <family val="1"/>
    </font>
    <font>
      <b/>
      <sz val="14"/>
      <color indexed="56"/>
      <name val="Palatino"/>
      <family val="1"/>
    </font>
    <font>
      <b/>
      <sz val="14"/>
      <color indexed="8"/>
      <name val="Arial"/>
      <family val="2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7"/>
      <name val="Arial"/>
      <family val="2"/>
    </font>
    <font>
      <sz val="7"/>
      <color indexed="12"/>
      <name val="Arial"/>
      <family val="2"/>
    </font>
    <font>
      <sz val="10"/>
      <color indexed="57"/>
      <name val="Arial"/>
      <family val="2"/>
    </font>
    <font>
      <sz val="1"/>
      <color indexed="8"/>
      <name val="Courier"/>
      <family val="3"/>
    </font>
    <font>
      <sz val="10"/>
      <color indexed="16"/>
      <name val="Times New Roman"/>
      <family val="1"/>
    </font>
    <font>
      <u val="doubleAccounting"/>
      <sz val="10"/>
      <name val="Arial"/>
      <family val="2"/>
    </font>
    <font>
      <b/>
      <i/>
      <sz val="8"/>
      <color indexed="12"/>
      <name val="HelveticaNeue Condensed"/>
    </font>
    <font>
      <b/>
      <i/>
      <sz val="8"/>
      <color indexed="12"/>
      <name val="Arial"/>
      <family val="2"/>
    </font>
    <font>
      <b/>
      <sz val="1"/>
      <color indexed="8"/>
      <name val="Courier"/>
      <family val="3"/>
    </font>
    <font>
      <sz val="8"/>
      <color indexed="10"/>
      <name val="Times New Roman"/>
      <family val="1"/>
    </font>
    <font>
      <b/>
      <u val="singleAccounting"/>
      <sz val="9"/>
      <name val="Times New Roman"/>
      <family val="1"/>
    </font>
    <font>
      <b/>
      <i/>
      <sz val="9.5"/>
      <name val="Times New Roman"/>
      <family val="1"/>
    </font>
    <font>
      <sz val="9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sz val="10"/>
      <name val="C Helvetica Condensed"/>
    </font>
    <font>
      <sz val="8"/>
      <color indexed="17"/>
      <name val="Times New Roman"/>
      <family val="1"/>
    </font>
    <font>
      <sz val="8"/>
      <color indexed="21"/>
      <name val="Arial"/>
      <family val="2"/>
    </font>
    <font>
      <sz val="10"/>
      <color indexed="48"/>
      <name val="Arial"/>
      <family val="2"/>
    </font>
    <font>
      <b/>
      <sz val="10"/>
      <color indexed="9"/>
      <name val="GillSans"/>
      <family val="2"/>
    </font>
    <font>
      <b/>
      <sz val="10"/>
      <color indexed="8"/>
      <name val="GillSans"/>
      <family val="2"/>
    </font>
    <font>
      <sz val="6"/>
      <color indexed="16"/>
      <name val="Palatino"/>
      <family val="1"/>
    </font>
    <font>
      <sz val="6"/>
      <name val="Palatino"/>
      <family val="1"/>
    </font>
    <font>
      <sz val="10"/>
      <name val="Helvetica-Black"/>
    </font>
    <font>
      <sz val="28"/>
      <name val="Helvetica-Black"/>
    </font>
    <font>
      <sz val="10"/>
      <name val="Palatino"/>
      <family val="1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18"/>
      <name val="Times New Roman"/>
      <family val="1"/>
    </font>
    <font>
      <b/>
      <sz val="10"/>
      <color indexed="60"/>
      <name val="Tahoma"/>
      <family val="2"/>
    </font>
    <font>
      <b/>
      <sz val="10"/>
      <name val="Trebuchet MS"/>
      <family val="2"/>
    </font>
    <font>
      <sz val="10"/>
      <name val="Helvetica"/>
      <family val="2"/>
    </font>
    <font>
      <sz val="8"/>
      <color indexed="12"/>
      <name val="Arial"/>
      <family val="2"/>
    </font>
    <font>
      <sz val="9"/>
      <color indexed="39"/>
      <name val="Arial"/>
      <family val="2"/>
    </font>
    <font>
      <sz val="9"/>
      <color indexed="12"/>
      <name val="Arial"/>
      <family val="2"/>
    </font>
    <font>
      <sz val="10"/>
      <color indexed="12"/>
      <name val="Times New Roman"/>
      <family val="1"/>
    </font>
    <font>
      <i/>
      <sz val="8"/>
      <name val="Arial"/>
      <family val="2"/>
    </font>
    <font>
      <sz val="12"/>
      <color indexed="12"/>
      <name val="Arial"/>
      <family val="2"/>
    </font>
    <font>
      <b/>
      <u/>
      <sz val="10"/>
      <color indexed="10"/>
      <name val="Times New Roman"/>
      <family val="1"/>
    </font>
    <font>
      <sz val="18"/>
      <name val="Times New Roman"/>
      <family val="1"/>
    </font>
    <font>
      <b/>
      <sz val="13"/>
      <name val="Times New Roman"/>
      <family val="1"/>
    </font>
    <font>
      <i/>
      <sz val="12"/>
      <name val="Times New Roman"/>
      <family val="1"/>
    </font>
    <font>
      <b/>
      <sz val="12"/>
      <color indexed="17"/>
      <name val="Wingdings"/>
      <charset val="2"/>
    </font>
    <font>
      <sz val="28"/>
      <name val="Times New Roman"/>
      <family val="1"/>
    </font>
    <font>
      <sz val="22"/>
      <name val="Times New Roman"/>
      <family val="1"/>
    </font>
    <font>
      <b/>
      <sz val="10"/>
      <name val="Helvetica"/>
      <family val="2"/>
    </font>
    <font>
      <b/>
      <sz val="18"/>
      <name val="Times New Roman"/>
      <family val="1"/>
    </font>
    <font>
      <sz val="8"/>
      <color indexed="18"/>
      <name val="Times New Roman"/>
      <family val="1"/>
    </font>
    <font>
      <i/>
      <sz val="10"/>
      <color indexed="16"/>
      <name val="Times New Roman"/>
      <family val="1"/>
    </font>
    <font>
      <sz val="7"/>
      <name val="Small Fonts"/>
      <family val="2"/>
    </font>
    <font>
      <b/>
      <u/>
      <sz val="12"/>
      <name val="L Serifa Light"/>
    </font>
    <font>
      <i/>
      <sz val="9"/>
      <name val="Arial"/>
      <family val="2"/>
    </font>
    <font>
      <sz val="9"/>
      <color indexed="48"/>
      <name val="Arial"/>
      <family val="2"/>
    </font>
    <font>
      <i/>
      <sz val="10"/>
      <name val="Helv"/>
    </font>
    <font>
      <sz val="10"/>
      <color indexed="8"/>
      <name val="Frutiger 45 Light"/>
      <family val="2"/>
    </font>
    <font>
      <i/>
      <sz val="12"/>
      <color indexed="12"/>
      <name val="Tms Rmn"/>
    </font>
    <font>
      <sz val="10"/>
      <color indexed="8"/>
      <name val="Helvetica-Narrow"/>
      <family val="2"/>
    </font>
    <font>
      <b/>
      <sz val="26"/>
      <name val="Times New Roman"/>
      <family val="1"/>
    </font>
    <font>
      <i/>
      <sz val="9"/>
      <name val="Helv"/>
    </font>
    <font>
      <i/>
      <sz val="10"/>
      <color indexed="12"/>
      <name val="Times New Roman"/>
      <family val="1"/>
    </font>
    <font>
      <i/>
      <sz val="12"/>
      <color indexed="8"/>
      <name val="Times New Roman"/>
      <family val="1"/>
    </font>
    <font>
      <sz val="8"/>
      <name val="Helv"/>
    </font>
    <font>
      <i/>
      <sz val="10"/>
      <name val="Times New Roman"/>
      <family val="1"/>
    </font>
    <font>
      <sz val="12"/>
      <name val="Book Antiqua"/>
      <family val="1"/>
    </font>
    <font>
      <b/>
      <sz val="8"/>
      <color indexed="18"/>
      <name val="Times New Roman"/>
      <family val="1"/>
    </font>
    <font>
      <b/>
      <sz val="12"/>
      <color indexed="8"/>
      <name val="Times New Roman"/>
      <family val="1"/>
    </font>
    <font>
      <sz val="12"/>
      <color indexed="10"/>
      <name val="Times New Roman"/>
      <family val="1"/>
    </font>
    <font>
      <b/>
      <sz val="8"/>
      <color indexed="10"/>
      <name val="Arial"/>
      <family val="2"/>
    </font>
    <font>
      <sz val="8"/>
      <color indexed="10"/>
      <name val="Arial"/>
      <family val="2"/>
    </font>
    <font>
      <b/>
      <sz val="8"/>
      <color indexed="10"/>
      <name val="Times New Roman"/>
      <family val="1"/>
    </font>
    <font>
      <sz val="10"/>
      <name val="GillSans Light"/>
      <family val="2"/>
    </font>
    <font>
      <sz val="10"/>
      <name val="SWISS"/>
    </font>
    <font>
      <b/>
      <i/>
      <sz val="10"/>
      <name val="Arial"/>
      <family val="2"/>
    </font>
    <font>
      <b/>
      <sz val="11"/>
      <color indexed="18"/>
      <name val="Times New Roman"/>
      <family val="1"/>
    </font>
    <font>
      <b/>
      <i/>
      <sz val="11"/>
      <color indexed="18"/>
      <name val="Arial"/>
      <family val="2"/>
    </font>
    <font>
      <b/>
      <sz val="11"/>
      <color indexed="9"/>
      <name val="Arial"/>
      <family val="2"/>
    </font>
    <font>
      <b/>
      <i/>
      <sz val="11"/>
      <color indexed="9"/>
      <name val="Arial"/>
      <family val="2"/>
    </font>
    <font>
      <sz val="12"/>
      <color indexed="18"/>
      <name val="MS Sans Serif"/>
      <family val="2"/>
    </font>
    <font>
      <b/>
      <sz val="12"/>
      <color indexed="9"/>
      <name val="Times New Roman"/>
      <family val="1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b/>
      <sz val="12"/>
      <color indexed="18"/>
      <name val="Times New Roman"/>
      <family val="1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2"/>
      <color indexed="9"/>
      <name val="Arial"/>
      <family val="2"/>
    </font>
    <font>
      <i/>
      <sz val="12"/>
      <color indexed="9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sz val="11"/>
      <color indexed="9"/>
      <name val="Arial"/>
      <family val="2"/>
    </font>
    <font>
      <i/>
      <sz val="11"/>
      <color indexed="9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b/>
      <sz val="20"/>
      <color indexed="9"/>
      <name val="Times New Roman"/>
      <family val="1"/>
    </font>
    <font>
      <sz val="11"/>
      <color indexed="10"/>
      <name val="Arial"/>
      <family val="2"/>
    </font>
    <font>
      <sz val="10"/>
      <color indexed="12"/>
      <name val="TimesNewRomanPS"/>
    </font>
    <font>
      <b/>
      <sz val="12"/>
      <color indexed="56"/>
      <name val="Arial"/>
      <family val="2"/>
    </font>
    <font>
      <b/>
      <sz val="14"/>
      <name val="Times New Roman"/>
      <family val="1"/>
    </font>
    <font>
      <b/>
      <sz val="14"/>
      <name val="Arial Narrow"/>
      <family val="2"/>
    </font>
    <font>
      <sz val="10"/>
      <name val="TimesNewRomanPS"/>
    </font>
    <font>
      <u val="singleAccounting"/>
      <sz val="10"/>
      <name val="Arial"/>
      <family val="2"/>
    </font>
    <font>
      <u/>
      <sz val="11"/>
      <name val="Times New Roman"/>
      <family val="1"/>
    </font>
    <font>
      <b/>
      <sz val="16"/>
      <color indexed="16"/>
      <name val="Arial"/>
      <family val="2"/>
    </font>
    <font>
      <b/>
      <sz val="14"/>
      <name val="Palatino"/>
      <family val="1"/>
    </font>
    <font>
      <i/>
      <sz val="8"/>
      <name val="Times New Roman"/>
      <family val="1"/>
    </font>
    <font>
      <b/>
      <sz val="10"/>
      <name val="GillSans"/>
      <family val="2"/>
    </font>
    <font>
      <b/>
      <u/>
      <sz val="9"/>
      <name val="Helv"/>
    </font>
    <font>
      <b/>
      <i/>
      <sz val="12"/>
      <name val="Arial"/>
      <family val="2"/>
    </font>
    <font>
      <b/>
      <sz val="12"/>
      <color indexed="18"/>
      <name val="Arial"/>
      <family val="2"/>
    </font>
    <font>
      <b/>
      <u/>
      <sz val="11"/>
      <name val="Helvetica"/>
      <family val="2"/>
    </font>
    <font>
      <b/>
      <sz val="12"/>
      <name val="Helvetica"/>
      <family val="2"/>
    </font>
    <font>
      <sz val="9"/>
      <name val="Helv"/>
    </font>
    <font>
      <sz val="7.5"/>
      <name val="Times New Roman"/>
      <family val="1"/>
    </font>
    <font>
      <b/>
      <sz val="10"/>
      <name val="Palatino"/>
      <family val="1"/>
    </font>
    <font>
      <b/>
      <sz val="7"/>
      <name val="Arial"/>
      <family val="2"/>
    </font>
    <font>
      <b/>
      <sz val="10"/>
      <color indexed="16"/>
      <name val="Arial"/>
      <family val="2"/>
    </font>
    <font>
      <b/>
      <u val="singleAccounting"/>
      <sz val="14"/>
      <name val="Times New Roman"/>
      <family val="1"/>
    </font>
    <font>
      <u/>
      <sz val="8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sz val="16"/>
      <name val="Times New Roman"/>
      <family val="1"/>
    </font>
    <font>
      <sz val="12"/>
      <name val="Palatino"/>
      <family val="1"/>
    </font>
    <font>
      <sz val="11"/>
      <name val="Helvetica-Black"/>
    </font>
    <font>
      <b/>
      <sz val="10"/>
      <color indexed="12"/>
      <name val="Monotype Sorts"/>
      <charset val="2"/>
    </font>
    <font>
      <b/>
      <sz val="12"/>
      <name val="Helv"/>
    </font>
    <font>
      <sz val="8"/>
      <color indexed="9"/>
      <name val="Arial Black"/>
      <family val="2"/>
    </font>
    <font>
      <b/>
      <sz val="8"/>
      <color indexed="9"/>
      <name val="Times New Roman"/>
      <family val="1"/>
    </font>
    <font>
      <b/>
      <sz val="8"/>
      <color indexed="60"/>
      <name val="Arial"/>
      <family val="2"/>
    </font>
    <font>
      <b/>
      <sz val="10"/>
      <color indexed="16"/>
      <name val="GillSans"/>
      <family val="2"/>
    </font>
    <font>
      <b/>
      <sz val="7"/>
      <color indexed="12"/>
      <name val="Arial"/>
      <family val="2"/>
    </font>
    <font>
      <i/>
      <sz val="9"/>
      <name val="Times New Roman"/>
      <family val="1"/>
    </font>
    <font>
      <b/>
      <u/>
      <sz val="14"/>
      <name val="SWISS"/>
    </font>
    <font>
      <b/>
      <sz val="10"/>
      <color theme="5"/>
      <name val="Arial"/>
      <family val="2"/>
    </font>
    <font>
      <i/>
      <sz val="10"/>
      <color theme="1"/>
      <name val="Arial"/>
      <family val="2"/>
    </font>
    <font>
      <sz val="10"/>
      <color theme="7" tint="0.79998168889431442"/>
      <name val="Arial"/>
      <family val="2"/>
    </font>
    <font>
      <sz val="12"/>
      <name val="GillSans"/>
      <family val="2"/>
    </font>
    <font>
      <b/>
      <sz val="10"/>
      <color indexed="9"/>
      <name val="Trebuchet MS"/>
      <family val="2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color theme="5"/>
      <name val="Arial"/>
      <family val="2"/>
    </font>
    <font>
      <sz val="8.1999999999999993"/>
      <color theme="1"/>
      <name val="Arial"/>
      <family val="2"/>
    </font>
    <font>
      <sz val="10"/>
      <color theme="5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8"/>
      <color rgb="FFFFFFFF"/>
      <name val="Trebuchet MS"/>
      <family val="2"/>
    </font>
    <font>
      <sz val="10"/>
      <color rgb="FF5BA5A3"/>
      <name val="Arial"/>
      <family val="2"/>
    </font>
    <font>
      <sz val="10"/>
      <name val="GillSans"/>
      <family val="2"/>
    </font>
    <font>
      <sz val="10"/>
      <name val="Helv"/>
      <family val="2"/>
    </font>
    <font>
      <sz val="10"/>
      <name val="Helv"/>
      <charset val="204"/>
    </font>
    <font>
      <sz val="8"/>
      <name val="Frutiger 45 Light"/>
      <family val="2"/>
    </font>
    <font>
      <i/>
      <sz val="10"/>
      <color indexed="32"/>
      <name val="Arial Narrow"/>
      <family val="2"/>
    </font>
    <font>
      <sz val="8"/>
      <name val="Univers"/>
      <family val="2"/>
    </font>
    <font>
      <sz val="9"/>
      <name val="Frutiger 45 Light"/>
      <family val="2"/>
    </font>
    <font>
      <u/>
      <sz val="8"/>
      <color indexed="12"/>
      <name val="Times New Roman"/>
      <family val="1"/>
    </font>
    <font>
      <sz val="1"/>
      <color indexed="16"/>
      <name val="Courier"/>
      <family val="3"/>
    </font>
    <font>
      <u val="doubleAccounting"/>
      <sz val="10"/>
      <name val="Times New Roman"/>
      <family val="1"/>
    </font>
    <font>
      <sz val="11"/>
      <name val="Arial"/>
      <family val="2"/>
    </font>
    <font>
      <sz val="10"/>
      <name val="Arial Narrow"/>
      <family val="2"/>
    </font>
    <font>
      <b/>
      <sz val="10"/>
      <color indexed="32"/>
      <name val="Arial Narrow"/>
      <family val="2"/>
    </font>
    <font>
      <sz val="14"/>
      <name val="Arial"/>
      <family val="2"/>
    </font>
    <font>
      <b/>
      <sz val="12"/>
      <color indexed="55"/>
      <name val="Arial"/>
      <family val="2"/>
    </font>
    <font>
      <b/>
      <sz val="14"/>
      <name val="Arial"/>
      <family val="2"/>
    </font>
    <font>
      <sz val="10"/>
      <color indexed="32"/>
      <name val="Arial Narrow"/>
      <family val="2"/>
    </font>
    <font>
      <b/>
      <sz val="14"/>
      <color indexed="32"/>
      <name val="Arial"/>
      <family val="2"/>
    </font>
    <font>
      <sz val="8"/>
      <color indexed="32"/>
      <name val="Arial Narrow"/>
      <family val="2"/>
    </font>
    <font>
      <b/>
      <sz val="10"/>
      <name val="Arial Narrow"/>
      <family val="2"/>
    </font>
    <font>
      <b/>
      <i/>
      <sz val="10"/>
      <name val="Arial Narrow"/>
      <family val="2"/>
    </font>
    <font>
      <i/>
      <sz val="10"/>
      <name val="Arial Narrow"/>
      <family val="2"/>
    </font>
    <font>
      <sz val="10"/>
      <color indexed="17"/>
      <name val="MS Sans Serif"/>
      <family val="2"/>
    </font>
    <font>
      <sz val="8"/>
      <name val="Courier"/>
      <family val="3"/>
    </font>
    <font>
      <b/>
      <sz val="8"/>
      <name val="Courier"/>
      <family val="3"/>
    </font>
    <font>
      <b/>
      <u/>
      <sz val="10"/>
      <name val="Courier"/>
      <family val="3"/>
    </font>
    <font>
      <sz val="9"/>
      <name val="Futura UBS Bk"/>
      <family val="2"/>
    </font>
    <font>
      <b/>
      <sz val="10"/>
      <color indexed="1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0"/>
      <color indexed="8"/>
      <name val="Arial"/>
      <family val="2"/>
    </font>
    <font>
      <sz val="10"/>
      <color rgb="FF008000"/>
      <name val="Arial"/>
      <family val="2"/>
    </font>
    <font>
      <i/>
      <sz val="10"/>
      <color indexed="12"/>
      <name val="Arial"/>
      <family val="2"/>
    </font>
    <font>
      <i/>
      <sz val="10"/>
      <color rgb="FF008000"/>
      <name val="Arial"/>
      <family val="2"/>
    </font>
    <font>
      <sz val="8"/>
      <name val="Tms Rmn"/>
      <family val="1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indexed="9"/>
      <name val="Calibri"/>
      <family val="2"/>
    </font>
    <font>
      <sz val="9"/>
      <color indexed="8"/>
      <name val="Times New Roman"/>
      <family val="1"/>
    </font>
    <font>
      <b/>
      <sz val="6"/>
      <name val="Arial"/>
      <family val="2"/>
    </font>
    <font>
      <sz val="9"/>
      <name val="Helvetica"/>
      <family val="2"/>
    </font>
    <font>
      <sz val="11"/>
      <color theme="0"/>
      <name val="Calibri"/>
      <family val="2"/>
      <scheme val="minor"/>
    </font>
    <font>
      <sz val="11"/>
      <color indexed="20"/>
      <name val="Calibri"/>
      <family val="2"/>
    </font>
    <font>
      <b/>
      <sz val="8"/>
      <color indexed="9"/>
      <name val="Arial"/>
      <family val="2"/>
    </font>
    <font>
      <b/>
      <sz val="18"/>
      <name val="Arial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sz val="10"/>
      <color theme="1"/>
      <name val="Tahoma"/>
      <family val="2"/>
    </font>
    <font>
      <sz val="8"/>
      <color theme="1"/>
      <name val="Arial"/>
      <family val="2"/>
    </font>
    <font>
      <sz val="8"/>
      <name val="Helvetica"/>
      <family val="2"/>
    </font>
    <font>
      <sz val="24"/>
      <name val="MS Sans Serif"/>
      <family val="2"/>
    </font>
    <font>
      <sz val="9"/>
      <name val="Helv"/>
      <family val="2"/>
    </font>
    <font>
      <sz val="10"/>
      <name val="CG Times (WN)"/>
    </font>
    <font>
      <b/>
      <sz val="16"/>
      <color theme="4"/>
      <name val="Arial"/>
      <family val="2"/>
    </font>
    <font>
      <b/>
      <sz val="15"/>
      <color theme="3"/>
      <name val="Arial"/>
      <family val="2"/>
    </font>
    <font>
      <sz val="8"/>
      <color theme="0" tint="-0.499984740745262"/>
      <name val="Arial"/>
      <family val="2"/>
    </font>
    <font>
      <b/>
      <sz val="8"/>
      <color theme="0" tint="-0.499984740745262"/>
      <name val="Arial"/>
      <family val="2"/>
    </font>
    <font>
      <b/>
      <sz val="10"/>
      <color theme="2"/>
      <name val="Arial"/>
      <family val="2"/>
    </font>
    <font>
      <sz val="8"/>
      <color indexed="12"/>
      <name val="Trebuchet MS"/>
      <family val="2"/>
    </font>
    <font>
      <sz val="9"/>
      <color theme="3"/>
      <name val="Arial"/>
      <family val="2"/>
    </font>
    <font>
      <i/>
      <sz val="8"/>
      <color theme="0" tint="-0.499984740745262"/>
      <name val="Arial"/>
      <family val="2"/>
    </font>
    <font>
      <sz val="10"/>
      <color rgb="FFFFFFFF"/>
      <name val="Arial"/>
      <family val="2"/>
    </font>
    <font>
      <b/>
      <sz val="10"/>
      <color theme="3"/>
      <name val="Arial"/>
      <family val="2"/>
    </font>
    <font>
      <i/>
      <sz val="10"/>
      <color rgb="FF808080"/>
      <name val="Arial"/>
      <family val="2"/>
    </font>
    <font>
      <b/>
      <sz val="8"/>
      <color rgb="FF000000"/>
      <name val="Arial"/>
      <family val="2"/>
    </font>
    <font>
      <i/>
      <sz val="8"/>
      <color rgb="FF808080"/>
      <name val="Arial"/>
      <family val="2"/>
    </font>
    <font>
      <sz val="8"/>
      <color rgb="FF000000"/>
      <name val="Arial"/>
      <family val="2"/>
    </font>
    <font>
      <i/>
      <sz val="8"/>
      <color rgb="FF000000"/>
      <name val="Arial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B050"/>
      <name val="Arial"/>
      <family val="2"/>
    </font>
    <font>
      <sz val="8"/>
      <color rgb="FF0000E1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0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7" fontId="28" fillId="11" borderId="0">
      <alignment horizontal="right"/>
    </xf>
    <xf numFmtId="0" fontId="6" fillId="0" borderId="0">
      <alignment vertical="center"/>
    </xf>
    <xf numFmtId="166" fontId="8" fillId="3" borderId="25"/>
    <xf numFmtId="178" fontId="31" fillId="0" borderId="0">
      <alignment horizontal="right"/>
    </xf>
    <xf numFmtId="166" fontId="32" fillId="14" borderId="0"/>
    <xf numFmtId="179" fontId="33" fillId="0" borderId="0" applyFont="0" applyFill="0" applyBorder="0" applyAlignment="0" applyProtection="0"/>
    <xf numFmtId="0" fontId="2" fillId="0" borderId="0"/>
    <xf numFmtId="179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5" fontId="34" fillId="0" borderId="0" applyFont="0" applyFill="0" applyBorder="0" applyAlignment="0" applyProtection="0"/>
    <xf numFmtId="0" fontId="6" fillId="0" borderId="0"/>
    <xf numFmtId="0" fontId="6" fillId="0" borderId="0"/>
    <xf numFmtId="181" fontId="6" fillId="0" borderId="0"/>
    <xf numFmtId="182" fontId="35" fillId="0" borderId="0"/>
    <xf numFmtId="183" fontId="4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84" fontId="4" fillId="0" borderId="0" applyFont="0" applyFill="0" applyBorder="0" applyAlignment="0" applyProtection="0"/>
    <xf numFmtId="10" fontId="34" fillId="0" borderId="0" applyFont="0" applyFill="0" applyBorder="0" applyAlignment="0" applyProtection="0"/>
    <xf numFmtId="10" fontId="37" fillId="0" borderId="0"/>
    <xf numFmtId="10" fontId="37" fillId="0" borderId="0"/>
    <xf numFmtId="9" fontId="34" fillId="0" borderId="0" applyFont="0" applyFill="0" applyBorder="0" applyAlignment="0" applyProtection="0"/>
    <xf numFmtId="10" fontId="37" fillId="0" borderId="0"/>
    <xf numFmtId="10" fontId="37" fillId="0" borderId="0"/>
    <xf numFmtId="9" fontId="38" fillId="0" borderId="0"/>
    <xf numFmtId="174" fontId="38" fillId="0" borderId="0"/>
    <xf numFmtId="10" fontId="38" fillId="0" borderId="0"/>
    <xf numFmtId="0" fontId="36" fillId="0" borderId="0" applyNumberFormat="0" applyFont="0" applyFill="0" applyBorder="0" applyAlignment="0" applyProtection="0"/>
    <xf numFmtId="0" fontId="39" fillId="13" borderId="0" applyBorder="0" applyAlignment="0"/>
    <xf numFmtId="175" fontId="38" fillId="0" borderId="11" applyFont="0" applyFill="0" applyBorder="0" applyAlignment="0" applyProtection="0"/>
    <xf numFmtId="166" fontId="35" fillId="0" borderId="0" applyFont="0" applyFill="0" applyBorder="0" applyAlignment="0" applyProtection="0"/>
    <xf numFmtId="185" fontId="35" fillId="0" borderId="0" applyFont="0" applyFill="0" applyBorder="0" applyAlignment="0"/>
    <xf numFmtId="186" fontId="6" fillId="0" borderId="0" applyFont="0" applyFill="0" applyBorder="0" applyAlignment="0" applyProtection="0"/>
    <xf numFmtId="0" fontId="40" fillId="0" borderId="0"/>
    <xf numFmtId="0" fontId="41" fillId="0" borderId="0" applyFont="0" applyAlignment="0">
      <alignment horizontal="center" vertical="center"/>
    </xf>
    <xf numFmtId="0" fontId="32" fillId="0" borderId="0"/>
    <xf numFmtId="0" fontId="35" fillId="0" borderId="0"/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35" fillId="0" borderId="0"/>
    <xf numFmtId="187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42" fillId="0" borderId="0"/>
    <xf numFmtId="0" fontId="42" fillId="0" borderId="0"/>
    <xf numFmtId="0" fontId="36" fillId="0" borderId="0" applyNumberFormat="0" applyFill="0" applyBorder="0" applyAlignment="0" applyProtection="0"/>
    <xf numFmtId="0" fontId="6" fillId="0" borderId="0"/>
    <xf numFmtId="0" fontId="4" fillId="13" borderId="0">
      <alignment horizontal="left" wrapText="1"/>
    </xf>
    <xf numFmtId="0" fontId="7" fillId="15" borderId="0">
      <alignment horizontal="left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3" fontId="4" fillId="16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0" fontId="7" fillId="15" borderId="0">
      <alignment horizontal="left"/>
    </xf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>
      <alignment horizontal="left"/>
    </xf>
    <xf numFmtId="0" fontId="4" fillId="16" borderId="0"/>
    <xf numFmtId="0" fontId="4" fillId="16" borderId="0"/>
    <xf numFmtId="49" fontId="7" fillId="17" borderId="0">
      <alignment horizontal="left"/>
    </xf>
    <xf numFmtId="49" fontId="7" fillId="17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>
      <alignment horizontal="left"/>
    </xf>
    <xf numFmtId="0" fontId="4" fillId="16" borderId="0"/>
    <xf numFmtId="0" fontId="4" fillId="16" borderId="0"/>
    <xf numFmtId="0" fontId="7" fillId="18" borderId="0">
      <alignment horizontal="left"/>
    </xf>
    <xf numFmtId="0" fontId="7" fillId="18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20" borderId="0">
      <alignment horizontal="left"/>
    </xf>
    <xf numFmtId="49" fontId="7" fillId="19" borderId="0">
      <alignment horizontal="left"/>
    </xf>
    <xf numFmtId="49" fontId="7" fillId="19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>
      <alignment horizontal="left"/>
    </xf>
    <xf numFmtId="0" fontId="4" fillId="16" borderId="0"/>
    <xf numFmtId="0" fontId="4" fillId="16" borderId="0"/>
    <xf numFmtId="0" fontId="7" fillId="21" borderId="0">
      <alignment horizontal="left"/>
    </xf>
    <xf numFmtId="0" fontId="7" fillId="20" borderId="0">
      <alignment horizontal="left"/>
    </xf>
    <xf numFmtId="0" fontId="7" fillId="20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>
      <alignment horizontal="left"/>
    </xf>
    <xf numFmtId="0" fontId="4" fillId="16" borderId="0"/>
    <xf numFmtId="0" fontId="4" fillId="16" borderId="0"/>
    <xf numFmtId="0" fontId="14" fillId="21" borderId="0">
      <alignment horizontal="left"/>
    </xf>
    <xf numFmtId="0" fontId="14" fillId="21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3" fillId="22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14" fillId="23" borderId="0">
      <alignment horizontal="left"/>
    </xf>
    <xf numFmtId="0" fontId="14" fillId="24" borderId="0">
      <alignment horizontal="left"/>
    </xf>
    <xf numFmtId="0" fontId="14" fillId="23" borderId="0">
      <alignment horizontal="left"/>
    </xf>
    <xf numFmtId="0" fontId="14" fillId="24" borderId="0">
      <alignment horizontal="left"/>
    </xf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1" fontId="6" fillId="0" borderId="0" applyFont="0" applyFill="0" applyBorder="0" applyAlignment="0" applyProtection="0"/>
    <xf numFmtId="192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19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6" fontId="6" fillId="0" borderId="0" applyFont="0" applyFill="0" applyBorder="0" applyAlignment="0" applyProtection="0"/>
    <xf numFmtId="196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78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3" fontId="4" fillId="3" borderId="26">
      <alignment horizontal="right"/>
    </xf>
    <xf numFmtId="4" fontId="6" fillId="3" borderId="0"/>
    <xf numFmtId="4" fontId="44" fillId="25" borderId="27" applyBorder="0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3" fontId="4" fillId="2" borderId="26"/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4" fontId="44" fillId="25" borderId="27" applyBorder="0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43" fontId="4" fillId="3" borderId="26"/>
    <xf numFmtId="3" fontId="4" fillId="3" borderId="26">
      <alignment horizontal="right"/>
    </xf>
    <xf numFmtId="198" fontId="4" fillId="0" borderId="0" applyFont="0" applyFill="0" applyBorder="0" applyAlignment="0" applyProtection="0"/>
    <xf numFmtId="199" fontId="4" fillId="0" borderId="0" applyFont="0" applyFill="0" applyBorder="0" applyAlignment="0" applyProtection="0"/>
    <xf numFmtId="0" fontId="45" fillId="0" borderId="0">
      <alignment vertical="center"/>
    </xf>
    <xf numFmtId="0" fontId="36" fillId="0" borderId="0" applyNumberFormat="0" applyFill="0" applyBorder="0" applyAlignment="0" applyProtection="0"/>
    <xf numFmtId="0" fontId="36" fillId="0" borderId="0" applyNumberFormat="0" applyFont="0" applyFill="0" applyBorder="0" applyAlignment="0" applyProtection="0"/>
    <xf numFmtId="0" fontId="36" fillId="0" borderId="0" applyNumberFormat="0" applyFont="0" applyFill="0" applyBorder="0" applyAlignment="0" applyProtection="0"/>
    <xf numFmtId="0" fontId="9" fillId="3" borderId="0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7" fillId="27" borderId="0"/>
    <xf numFmtId="0" fontId="6" fillId="3" borderId="0">
      <alignment wrapText="1"/>
    </xf>
    <xf numFmtId="0" fontId="9" fillId="3" borderId="0">
      <alignment horizontal="left"/>
    </xf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6" fillId="26" borderId="0"/>
    <xf numFmtId="0" fontId="9" fillId="3" borderId="0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9" fillId="3" borderId="0">
      <alignment horizontal="left"/>
    </xf>
    <xf numFmtId="0" fontId="9" fillId="3" borderId="0"/>
    <xf numFmtId="0" fontId="9" fillId="3" borderId="0"/>
    <xf numFmtId="0" fontId="9" fillId="3" borderId="0">
      <alignment horizontal="left"/>
    </xf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" fillId="28" borderId="0" applyNumberFormat="0" applyFont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2" fontId="4" fillId="0" borderId="0" applyFont="0" applyFill="0" applyBorder="0" applyAlignment="0" applyProtection="0"/>
    <xf numFmtId="203" fontId="6" fillId="0" borderId="0" applyFont="0" applyFill="0" applyBorder="0" applyAlignment="0" applyProtection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6" fontId="4" fillId="0" borderId="0" applyFont="0" applyFill="0" applyBorder="0" applyAlignment="0" applyProtection="0"/>
    <xf numFmtId="207" fontId="35" fillId="0" borderId="0" applyFont="0" applyFill="0" applyBorder="0" applyAlignment="0" applyProtection="0"/>
    <xf numFmtId="207" fontId="35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6" fillId="0" borderId="0" applyFont="0" applyFill="0" applyBorder="0" applyAlignment="0" applyProtection="0"/>
    <xf numFmtId="210" fontId="4" fillId="0" borderId="0" applyFont="0" applyFill="0" applyBorder="0" applyAlignment="0" applyProtection="0"/>
    <xf numFmtId="211" fontId="35" fillId="0" borderId="0" applyFont="0" applyFill="0" applyBorder="0" applyAlignment="0" applyProtection="0"/>
    <xf numFmtId="211" fontId="35" fillId="0" borderId="0" applyFont="0" applyFill="0" applyBorder="0" applyAlignment="0" applyProtection="0"/>
    <xf numFmtId="209" fontId="6" fillId="0" borderId="0" applyFont="0" applyFill="0" applyBorder="0" applyAlignment="0" applyProtection="0"/>
    <xf numFmtId="0" fontId="14" fillId="29" borderId="0" applyNumberFormat="0" applyFont="0" applyFill="0" applyBorder="0" applyAlignment="0" applyProtection="0"/>
    <xf numFmtId="0" fontId="6" fillId="0" borderId="0" applyFont="0" applyFill="0" applyBorder="0" applyAlignment="0" applyProtection="0"/>
    <xf numFmtId="212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213" fontId="6" fillId="0" borderId="0" applyFont="0" applyFill="0" applyBorder="0" applyAlignment="0" applyProtection="0"/>
    <xf numFmtId="5" fontId="35" fillId="0" borderId="0" applyFont="0" applyFill="0" applyBorder="0" applyAlignment="0" applyProtection="0"/>
    <xf numFmtId="214" fontId="4" fillId="0" borderId="0" applyFont="0" applyFill="0" applyBorder="0" applyAlignment="0" applyProtection="0"/>
    <xf numFmtId="215" fontId="6" fillId="0" borderId="0" applyFont="0" applyFill="0" applyBorder="0" applyAlignment="0" applyProtection="0"/>
    <xf numFmtId="180" fontId="4" fillId="0" borderId="0" applyFont="0" applyFill="0" applyBorder="0" applyAlignment="0" applyProtection="0"/>
    <xf numFmtId="179" fontId="35" fillId="0" borderId="0" applyFont="0" applyFill="0" applyBorder="0" applyAlignment="0" applyProtection="0"/>
    <xf numFmtId="179" fontId="35" fillId="0" borderId="0" applyFont="0" applyFill="0" applyBorder="0" applyAlignment="0" applyProtection="0"/>
    <xf numFmtId="215" fontId="6" fillId="0" borderId="0" applyFont="0" applyFill="0" applyBorder="0" applyAlignment="0" applyProtection="0"/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/>
    <xf numFmtId="3" fontId="4" fillId="16" borderId="0">
      <alignment horizontal="left" vertical="center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26" borderId="0"/>
    <xf numFmtId="0" fontId="4" fillId="13" borderId="0">
      <alignment horizontal="left" wrapText="1"/>
    </xf>
    <xf numFmtId="0" fontId="7" fillId="15" borderId="0"/>
    <xf numFmtId="0" fontId="7" fillId="15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6" fillId="30" borderId="0"/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1" borderId="0"/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7" fillId="17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7" fillId="18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7" fillId="19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21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20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3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14" fillId="21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 applyNumberFormat="0" applyProtection="0"/>
    <xf numFmtId="0" fontId="14" fillId="24" borderId="0" applyNumberFormat="0" applyProtection="0"/>
    <xf numFmtId="0" fontId="14" fillId="23" borderId="0" applyNumberFormat="0" applyProtection="0"/>
    <xf numFmtId="0" fontId="14" fillId="24" borderId="0" applyNumberFormat="0" applyProtection="0"/>
    <xf numFmtId="0" fontId="36" fillId="0" borderId="0" applyNumberFormat="0" applyFill="0" applyBorder="0" applyAlignment="0" applyProtection="0"/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5" fontId="35" fillId="0" borderId="0" applyFont="0" applyFill="0" applyBorder="0" applyAlignment="0" applyProtection="0"/>
    <xf numFmtId="216" fontId="35" fillId="0" borderId="0" applyFont="0" applyFill="0" applyBorder="0" applyAlignment="0" applyProtection="0"/>
    <xf numFmtId="0" fontId="6" fillId="0" borderId="0"/>
    <xf numFmtId="0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4" fillId="0" borderId="0" applyFont="0" applyFill="0" applyBorder="0" applyAlignment="0" applyProtection="0"/>
    <xf numFmtId="220" fontId="33" fillId="0" borderId="0" applyFont="0" applyFill="0" applyBorder="0" applyAlignment="0" applyProtection="0"/>
    <xf numFmtId="220" fontId="33" fillId="0" borderId="0" applyFont="0" applyFill="0" applyBorder="0" applyAlignment="0" applyProtection="0"/>
    <xf numFmtId="176" fontId="33" fillId="0" borderId="0" applyFont="0" applyFill="0" applyBorder="0" applyAlignment="0" applyProtection="0"/>
    <xf numFmtId="218" fontId="38" fillId="0" borderId="0" applyFont="0" applyFill="0" applyBorder="0" applyAlignment="0" applyProtection="0"/>
    <xf numFmtId="221" fontId="6" fillId="0" borderId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24" fontId="4" fillId="0" borderId="0" applyFont="0" applyFill="0" applyBorder="0" applyAlignment="0" applyProtection="0"/>
    <xf numFmtId="187" fontId="35" fillId="0" borderId="0"/>
    <xf numFmtId="225" fontId="35" fillId="0" borderId="0"/>
    <xf numFmtId="188" fontId="35" fillId="0" borderId="0"/>
    <xf numFmtId="226" fontId="53" fillId="0" borderId="0" applyFont="0" applyFill="0" applyBorder="0" applyAlignment="0" applyProtection="0"/>
    <xf numFmtId="227" fontId="53" fillId="0" borderId="0" applyFont="0" applyFill="0" applyBorder="0" applyAlignment="0" applyProtection="0"/>
    <xf numFmtId="228" fontId="53" fillId="0" borderId="0" applyFont="0" applyFill="0" applyBorder="0" applyAlignment="0" applyProtection="0"/>
    <xf numFmtId="229" fontId="53" fillId="0" borderId="0" applyFont="0" applyFill="0" applyBorder="0" applyAlignment="0" applyProtection="0"/>
    <xf numFmtId="230" fontId="53" fillId="0" borderId="0" applyFont="0" applyFill="0" applyBorder="0" applyAlignment="0" applyProtection="0"/>
    <xf numFmtId="231" fontId="54" fillId="0" borderId="0" applyFont="0" applyFill="0" applyBorder="0" applyAlignment="0" applyProtection="0"/>
    <xf numFmtId="219" fontId="38" fillId="0" borderId="0" applyFont="0" applyFill="0" applyBorder="0" applyAlignment="0" applyProtection="0"/>
    <xf numFmtId="0" fontId="35" fillId="0" borderId="0"/>
    <xf numFmtId="0" fontId="35" fillId="0" borderId="0"/>
    <xf numFmtId="0" fontId="6" fillId="0" borderId="0"/>
    <xf numFmtId="0" fontId="55" fillId="0" borderId="0"/>
    <xf numFmtId="9" fontId="6" fillId="0" borderId="0"/>
    <xf numFmtId="0" fontId="38" fillId="0" borderId="0"/>
    <xf numFmtId="196" fontId="56" fillId="0" borderId="0"/>
    <xf numFmtId="216" fontId="4" fillId="0" borderId="0">
      <alignment horizontal="left"/>
      <protection locked="0"/>
    </xf>
    <xf numFmtId="174" fontId="56" fillId="0" borderId="0"/>
    <xf numFmtId="176" fontId="56" fillId="0" borderId="0"/>
    <xf numFmtId="2" fontId="56" fillId="0" borderId="0"/>
    <xf numFmtId="10" fontId="56" fillId="0" borderId="0"/>
    <xf numFmtId="0" fontId="57" fillId="0" borderId="30" applyFont="0" applyFill="0" applyBorder="0" applyAlignment="0" applyProtection="0"/>
    <xf numFmtId="176" fontId="56" fillId="0" borderId="0"/>
    <xf numFmtId="175" fontId="38" fillId="0" borderId="0"/>
    <xf numFmtId="175" fontId="38" fillId="0" borderId="0"/>
    <xf numFmtId="232" fontId="38" fillId="0" borderId="0">
      <alignment horizontal="center"/>
    </xf>
    <xf numFmtId="233" fontId="33" fillId="0" borderId="0" applyFont="0" applyFill="0" applyBorder="0" applyAlignment="0" applyProtection="0"/>
    <xf numFmtId="178" fontId="4" fillId="0" borderId="0" applyFont="0" applyFill="0" applyBorder="0" applyAlignment="0" applyProtection="0"/>
    <xf numFmtId="166" fontId="4" fillId="0" borderId="0"/>
    <xf numFmtId="166" fontId="4" fillId="0" borderId="0">
      <alignment horizontal="right"/>
    </xf>
    <xf numFmtId="37" fontId="58" fillId="0" borderId="0">
      <alignment horizontal="center"/>
    </xf>
    <xf numFmtId="166" fontId="59" fillId="0" borderId="0">
      <alignment horizontal="center"/>
    </xf>
    <xf numFmtId="41" fontId="60" fillId="0" borderId="0"/>
    <xf numFmtId="234" fontId="4" fillId="0" borderId="0"/>
    <xf numFmtId="235" fontId="4" fillId="0" borderId="0"/>
    <xf numFmtId="236" fontId="6" fillId="0" borderId="0" applyFill="0" applyBorder="0" applyProtection="0">
      <alignment horizontal="right"/>
    </xf>
    <xf numFmtId="0" fontId="4" fillId="4" borderId="31">
      <alignment horizontal="center" vertical="center"/>
    </xf>
    <xf numFmtId="0" fontId="61" fillId="0" borderId="0"/>
    <xf numFmtId="0" fontId="59" fillId="0" borderId="0" applyFont="0">
      <alignment horizontal="centerContinuous"/>
    </xf>
    <xf numFmtId="0" fontId="6" fillId="0" borderId="0">
      <alignment horizontal="right"/>
    </xf>
    <xf numFmtId="0" fontId="23" fillId="0" borderId="0" applyFont="0" applyFill="0" applyBorder="0" applyAlignment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32" applyNumberFormat="0" applyFill="0" applyAlignment="0" applyProtection="0"/>
    <xf numFmtId="166" fontId="62" fillId="3" borderId="17" applyAlignment="0"/>
    <xf numFmtId="167" fontId="62" fillId="3" borderId="17" applyAlignment="0"/>
    <xf numFmtId="174" fontId="62" fillId="3" borderId="17"/>
    <xf numFmtId="41" fontId="60" fillId="3" borderId="25"/>
    <xf numFmtId="234" fontId="4" fillId="3" borderId="25"/>
    <xf numFmtId="174" fontId="60" fillId="3" borderId="25"/>
    <xf numFmtId="0" fontId="63" fillId="0" borderId="33" applyNumberFormat="0" applyFill="0" applyAlignment="0" applyProtection="0"/>
    <xf numFmtId="175" fontId="64" fillId="14" borderId="0" applyNumberFormat="0" applyFill="0" applyBorder="0" applyAlignment="0" applyProtection="0">
      <alignment horizontal="right"/>
    </xf>
    <xf numFmtId="0" fontId="4" fillId="32" borderId="17" applyProtection="0">
      <alignment horizontal="right"/>
    </xf>
    <xf numFmtId="216" fontId="4" fillId="32" borderId="17" applyProtection="0">
      <alignment horizontal="right"/>
      <protection locked="0"/>
    </xf>
    <xf numFmtId="233" fontId="6" fillId="32" borderId="17" applyProtection="0">
      <alignment horizontal="right"/>
      <protection locked="0"/>
    </xf>
    <xf numFmtId="178" fontId="4" fillId="32" borderId="17" applyProtection="0">
      <alignment horizontal="right"/>
      <protection locked="0"/>
    </xf>
    <xf numFmtId="237" fontId="4" fillId="32" borderId="17" applyProtection="0">
      <alignment horizontal="right"/>
    </xf>
    <xf numFmtId="238" fontId="4" fillId="32" borderId="17" applyProtection="0">
      <alignment horizontal="right"/>
    </xf>
    <xf numFmtId="239" fontId="4" fillId="32" borderId="17" applyProtection="0">
      <alignment horizontal="right"/>
    </xf>
    <xf numFmtId="240" fontId="4" fillId="32" borderId="17" applyProtection="0">
      <alignment horizontal="right"/>
    </xf>
    <xf numFmtId="191" fontId="4" fillId="32" borderId="17" applyProtection="0">
      <alignment horizontal="right"/>
    </xf>
    <xf numFmtId="200" fontId="4" fillId="32" borderId="17" applyProtection="0">
      <alignment horizontal="right"/>
    </xf>
    <xf numFmtId="0" fontId="35" fillId="0" borderId="0">
      <alignment horizontal="centerContinuous"/>
    </xf>
    <xf numFmtId="0" fontId="59" fillId="0" borderId="11">
      <alignment horizontal="centerContinuous"/>
    </xf>
    <xf numFmtId="0" fontId="65" fillId="33" borderId="34" applyNumberFormat="0" applyAlignment="0">
      <alignment horizontal="right"/>
    </xf>
    <xf numFmtId="0" fontId="37" fillId="0" borderId="0" applyNumberFormat="0" applyFill="0" applyBorder="0" applyAlignment="0" applyProtection="0">
      <alignment horizontal="centerContinuous"/>
    </xf>
    <xf numFmtId="0" fontId="6" fillId="0" borderId="0"/>
    <xf numFmtId="181" fontId="6" fillId="0" borderId="0"/>
    <xf numFmtId="182" fontId="35" fillId="0" borderId="0"/>
    <xf numFmtId="9" fontId="37" fillId="0" borderId="0"/>
    <xf numFmtId="174" fontId="37" fillId="0" borderId="0"/>
    <xf numFmtId="10" fontId="37" fillId="0" borderId="0"/>
    <xf numFmtId="0" fontId="3" fillId="0" borderId="0" applyNumberFormat="0" applyFill="0" applyBorder="0" applyAlignment="0" applyProtection="0"/>
    <xf numFmtId="0" fontId="31" fillId="0" borderId="0"/>
    <xf numFmtId="241" fontId="3" fillId="3" borderId="20" applyFill="0" applyBorder="0" applyAlignment="0" applyProtection="0"/>
    <xf numFmtId="171" fontId="66" fillId="0" borderId="0"/>
    <xf numFmtId="0" fontId="31" fillId="0" borderId="0"/>
    <xf numFmtId="0" fontId="31" fillId="0" borderId="0"/>
    <xf numFmtId="171" fontId="66" fillId="0" borderId="0"/>
    <xf numFmtId="187" fontId="35" fillId="0" borderId="0"/>
    <xf numFmtId="225" fontId="35" fillId="0" borderId="0"/>
    <xf numFmtId="188" fontId="35" fillId="0" borderId="0"/>
    <xf numFmtId="242" fontId="37" fillId="0" borderId="0"/>
    <xf numFmtId="0" fontId="37" fillId="0" borderId="0"/>
    <xf numFmtId="178" fontId="37" fillId="0" borderId="0"/>
    <xf numFmtId="43" fontId="37" fillId="0" borderId="0"/>
    <xf numFmtId="221" fontId="32" fillId="0" borderId="0" applyFont="0" applyFill="0" applyBorder="0" applyAlignment="0" applyProtection="0"/>
    <xf numFmtId="0" fontId="60" fillId="0" borderId="0"/>
    <xf numFmtId="204" fontId="4" fillId="0" borderId="0" applyFont="0" applyFill="0" applyBorder="0" applyAlignment="0" applyProtection="0">
      <alignment vertical="top"/>
    </xf>
    <xf numFmtId="0" fontId="67" fillId="0" borderId="0" applyNumberFormat="0" applyFill="0" applyBorder="0" applyAlignment="0" applyProtection="0">
      <alignment vertical="top"/>
      <protection locked="0"/>
    </xf>
    <xf numFmtId="212" fontId="4" fillId="32" borderId="17" applyFont="0" applyFill="0" applyBorder="0" applyAlignment="0" applyProtection="0"/>
    <xf numFmtId="241" fontId="6" fillId="0" borderId="0"/>
    <xf numFmtId="0" fontId="31" fillId="0" borderId="0" applyNumberFormat="0" applyBorder="0" applyAlignment="0"/>
    <xf numFmtId="241" fontId="27" fillId="0" borderId="0" applyFont="0" applyFill="0" applyBorder="0" applyAlignment="0" applyProtection="0"/>
    <xf numFmtId="10" fontId="6" fillId="34" borderId="11" applyNumberFormat="0" applyAlignment="0">
      <alignment horizontal="right"/>
    </xf>
    <xf numFmtId="1" fontId="68" fillId="0" borderId="0" applyFill="0" applyBorder="0" applyProtection="0">
      <alignment horizontal="right" wrapText="1"/>
      <protection locked="0"/>
    </xf>
    <xf numFmtId="243" fontId="69" fillId="0" borderId="0" applyFill="0" applyBorder="0" applyProtection="0">
      <alignment horizontal="right"/>
      <protection locked="0"/>
    </xf>
    <xf numFmtId="38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Fill="0" applyBorder="0" applyAlignment="0" applyProtection="0">
      <protection locked="0"/>
    </xf>
    <xf numFmtId="0" fontId="73" fillId="34" borderId="0"/>
    <xf numFmtId="166" fontId="35" fillId="0" borderId="0" applyNumberFormat="0" applyFont="0" applyAlignment="0" applyProtection="0"/>
    <xf numFmtId="244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45" fontId="74" fillId="0" borderId="0" applyFont="0" applyFill="0" applyBorder="0" applyAlignment="0" applyProtection="0"/>
    <xf numFmtId="246" fontId="4" fillId="0" borderId="0" applyFont="0" applyFill="0" applyBorder="0" applyAlignment="0" applyProtection="0"/>
    <xf numFmtId="247" fontId="4" fillId="0" borderId="0" applyFont="0" applyFill="0" applyBorder="0" applyAlignment="0" applyProtection="0"/>
    <xf numFmtId="248" fontId="4" fillId="0" borderId="0" applyFont="0" applyFill="0" applyBorder="0" applyAlignment="0" applyProtection="0"/>
    <xf numFmtId="249" fontId="4" fillId="0" borderId="0" applyFont="0" applyFill="0" applyBorder="0" applyAlignment="0" applyProtection="0"/>
    <xf numFmtId="250" fontId="4" fillId="0" borderId="0" applyFont="0" applyFill="0" applyBorder="0" applyAlignment="0" applyProtection="0"/>
    <xf numFmtId="243" fontId="4" fillId="0" borderId="0" applyFont="0" applyFill="0" applyBorder="0" applyAlignment="0" applyProtection="0"/>
    <xf numFmtId="251" fontId="4" fillId="0" borderId="0" applyFont="0" applyFill="0" applyBorder="0" applyAlignment="0" applyProtection="0"/>
    <xf numFmtId="252" fontId="4" fillId="0" borderId="0" applyFont="0" applyFill="0" applyBorder="0" applyAlignment="0" applyProtection="0"/>
    <xf numFmtId="253" fontId="4" fillId="0" borderId="0" applyFont="0" applyFill="0" applyBorder="0" applyAlignment="0" applyProtection="0"/>
    <xf numFmtId="254" fontId="4" fillId="0" borderId="0" applyNumberFormat="0" applyFont="0" applyAlignment="0"/>
    <xf numFmtId="0" fontId="75" fillId="35" borderId="0" applyNumberFormat="0" applyBorder="0">
      <alignment horizontal="center" vertical="center"/>
    </xf>
    <xf numFmtId="166" fontId="6" fillId="0" borderId="0"/>
    <xf numFmtId="0" fontId="76" fillId="0" borderId="0" applyNumberFormat="0" applyFill="0" applyBorder="0" applyAlignment="0" applyProtection="0"/>
    <xf numFmtId="0" fontId="1" fillId="35" borderId="35">
      <alignment horizontal="center" vertical="center"/>
    </xf>
    <xf numFmtId="0" fontId="77" fillId="0" borderId="0" applyNumberFormat="0" applyFill="0" applyBorder="0" applyProtection="0">
      <protection locked="0"/>
    </xf>
    <xf numFmtId="243" fontId="17" fillId="0" borderId="0">
      <protection locked="0"/>
    </xf>
    <xf numFmtId="1" fontId="78" fillId="35" borderId="0" applyBorder="0" applyAlignment="0" applyProtection="0"/>
    <xf numFmtId="206" fontId="4" fillId="0" borderId="0">
      <alignment horizontal="right"/>
    </xf>
    <xf numFmtId="255" fontId="4" fillId="0" borderId="0" applyBorder="0" applyProtection="0"/>
    <xf numFmtId="256" fontId="4" fillId="0" borderId="0"/>
    <xf numFmtId="0" fontId="38" fillId="0" borderId="0"/>
    <xf numFmtId="257" fontId="79" fillId="0" borderId="0" applyFont="0" applyAlignment="0" applyProtection="0"/>
    <xf numFmtId="0" fontId="35" fillId="0" borderId="0"/>
    <xf numFmtId="0" fontId="80" fillId="0" borderId="0" applyNumberFormat="0" applyFill="0" applyBorder="0" applyAlignment="0" applyProtection="0"/>
    <xf numFmtId="0" fontId="59" fillId="0" borderId="11" applyNumberFormat="0" applyFill="0" applyAlignment="0" applyProtection="0"/>
    <xf numFmtId="0" fontId="81" fillId="14" borderId="14" applyNumberFormat="0" applyFill="0" applyBorder="0" applyAlignment="0" applyProtection="0">
      <protection locked="0"/>
    </xf>
    <xf numFmtId="37" fontId="33" fillId="0" borderId="11" applyNumberFormat="0" applyFont="0" applyFill="0" applyAlignment="0" applyProtection="0"/>
    <xf numFmtId="0" fontId="32" fillId="0" borderId="3" applyNumberFormat="0" applyFont="0" applyFill="0" applyAlignment="0" applyProtection="0"/>
    <xf numFmtId="258" fontId="74" fillId="0" borderId="21" applyNumberFormat="0" applyFont="0" applyFill="0" applyAlignment="0" applyProtection="0"/>
    <xf numFmtId="0" fontId="6" fillId="0" borderId="3" applyNumberFormat="0" applyFont="0" applyFill="0" applyAlignment="0" applyProtection="0"/>
    <xf numFmtId="0" fontId="32" fillId="0" borderId="11" applyNumberFormat="0" applyFont="0" applyFill="0" applyAlignment="0" applyProtection="0"/>
    <xf numFmtId="258" fontId="74" fillId="0" borderId="8" applyNumberFormat="0" applyFont="0" applyFill="0" applyAlignment="0" applyProtection="0"/>
    <xf numFmtId="0" fontId="60" fillId="0" borderId="36" applyNumberFormat="0" applyFill="0" applyProtection="0"/>
    <xf numFmtId="0" fontId="34" fillId="0" borderId="11" applyNumberFormat="0" applyFont="0" applyFill="0" applyAlignment="0" applyProtection="0"/>
    <xf numFmtId="0" fontId="34" fillId="0" borderId="13" applyNumberFormat="0" applyFont="0" applyFill="0" applyAlignment="0" applyProtection="0"/>
    <xf numFmtId="0" fontId="34" fillId="0" borderId="14" applyNumberFormat="0" applyFont="0" applyFill="0" applyAlignment="0" applyProtection="0"/>
    <xf numFmtId="0" fontId="34" fillId="0" borderId="8" applyNumberFormat="0" applyFont="0" applyFill="0" applyAlignment="0" applyProtection="0"/>
    <xf numFmtId="0" fontId="70" fillId="0" borderId="11" applyNumberFormat="0" applyFont="0" applyFill="0" applyAlignment="0" applyProtection="0"/>
    <xf numFmtId="254" fontId="4" fillId="0" borderId="3" applyNumberFormat="0" applyFill="0" applyAlignment="0" applyProtection="0">
      <alignment horizontal="center"/>
    </xf>
    <xf numFmtId="0" fontId="82" fillId="0" borderId="37" applyFill="0" applyProtection="0">
      <alignment horizontal="right"/>
    </xf>
    <xf numFmtId="259" fontId="4" fillId="0" borderId="11" applyFill="0" applyAlignment="0" applyProtection="0">
      <alignment horizontal="center"/>
    </xf>
    <xf numFmtId="0" fontId="31" fillId="0" borderId="8"/>
    <xf numFmtId="166" fontId="83" fillId="0" borderId="38" applyBorder="0"/>
    <xf numFmtId="260" fontId="84" fillId="2" borderId="0" applyFont="0" applyFill="0" applyBorder="0" applyAlignment="0" applyProtection="0"/>
    <xf numFmtId="49" fontId="85" fillId="0" borderId="0" applyFont="0" applyFill="0" applyBorder="0" applyAlignment="0" applyProtection="0">
      <alignment horizontal="left"/>
    </xf>
    <xf numFmtId="225" fontId="4" fillId="0" borderId="0" applyAlignment="0" applyProtection="0"/>
    <xf numFmtId="174" fontId="4" fillId="0" borderId="0" applyFill="0" applyBorder="0" applyAlignment="0" applyProtection="0"/>
    <xf numFmtId="49" fontId="4" fillId="0" borderId="0" applyNumberFormat="0" applyAlignment="0" applyProtection="0">
      <alignment horizontal="left"/>
    </xf>
    <xf numFmtId="49" fontId="86" fillId="0" borderId="39" applyNumberFormat="0" applyAlignment="0" applyProtection="0">
      <alignment horizontal="left" wrapText="1"/>
    </xf>
    <xf numFmtId="49" fontId="86" fillId="0" borderId="0" applyNumberFormat="0" applyAlignment="0" applyProtection="0">
      <alignment horizontal="left" wrapText="1"/>
    </xf>
    <xf numFmtId="49" fontId="87" fillId="0" borderId="0" applyAlignment="0" applyProtection="0">
      <alignment horizontal="left"/>
    </xf>
    <xf numFmtId="0" fontId="6" fillId="0" borderId="0" applyFont="0" applyFill="0" applyBorder="0" applyAlignment="0" applyProtection="0"/>
    <xf numFmtId="254" fontId="4" fillId="0" borderId="0" applyFont="0" applyFill="0" applyBorder="0" applyAlignment="0">
      <alignment horizontal="right"/>
    </xf>
    <xf numFmtId="242" fontId="37" fillId="0" borderId="8"/>
    <xf numFmtId="43" fontId="37" fillId="0" borderId="8"/>
    <xf numFmtId="0" fontId="38" fillId="0" borderId="11">
      <alignment horizontal="centerContinuous"/>
    </xf>
    <xf numFmtId="0" fontId="6" fillId="0" borderId="3" applyBorder="0">
      <alignment horizontal="centerContinuous"/>
    </xf>
    <xf numFmtId="222" fontId="38" fillId="0" borderId="0" applyFont="0" applyFill="0" applyBorder="0" applyAlignment="0" applyProtection="0"/>
    <xf numFmtId="261" fontId="4" fillId="0" borderId="0" applyFont="0" applyFill="0" applyBorder="0" applyProtection="0">
      <alignment horizontal="left"/>
    </xf>
    <xf numFmtId="262" fontId="4" fillId="0" borderId="0" applyFont="0" applyFill="0" applyBorder="0" applyProtection="0">
      <alignment horizontal="left"/>
    </xf>
    <xf numFmtId="263" fontId="4" fillId="0" borderId="0" applyFont="0" applyFill="0" applyBorder="0" applyProtection="0">
      <alignment horizontal="left"/>
    </xf>
    <xf numFmtId="264" fontId="4" fillId="36" borderId="0" applyFont="0" applyFill="0" applyBorder="0" applyAlignment="0" applyProtection="0">
      <alignment horizontal="center" vertical="top"/>
    </xf>
    <xf numFmtId="185" fontId="6" fillId="0" borderId="0"/>
    <xf numFmtId="198" fontId="35" fillId="0" borderId="0"/>
    <xf numFmtId="265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>
      <alignment horizontal="right"/>
    </xf>
    <xf numFmtId="0" fontId="31" fillId="0" borderId="0">
      <alignment horizontal="right"/>
    </xf>
    <xf numFmtId="0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NumberFormat="0" applyFont="0" applyFill="0" applyBorder="0" applyProtection="0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>
      <alignment horizontal="center"/>
    </xf>
    <xf numFmtId="0" fontId="38" fillId="0" borderId="0"/>
    <xf numFmtId="0" fontId="59" fillId="0" borderId="0"/>
    <xf numFmtId="266" fontId="4" fillId="0" borderId="0" applyFill="0" applyBorder="0" applyAlignment="0"/>
    <xf numFmtId="267" fontId="4" fillId="0" borderId="0" applyFill="0" applyBorder="0" applyAlignment="0"/>
    <xf numFmtId="190" fontId="4" fillId="0" borderId="0" applyFill="0" applyBorder="0" applyAlignment="0"/>
    <xf numFmtId="180" fontId="4" fillId="0" borderId="0" applyFill="0" applyBorder="0" applyAlignment="0"/>
    <xf numFmtId="183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4" fillId="0" borderId="0" applyAlignment="0" applyProtection="0"/>
    <xf numFmtId="259" fontId="4" fillId="37" borderId="0" applyNumberFormat="0" applyFont="0" applyBorder="0" applyAlignment="0"/>
    <xf numFmtId="0" fontId="68" fillId="0" borderId="0" applyFont="0" applyFill="0" applyBorder="0" applyAlignment="0" applyProtection="0"/>
    <xf numFmtId="268" fontId="4" fillId="0" borderId="40"/>
    <xf numFmtId="0" fontId="10" fillId="0" borderId="0" applyNumberFormat="0" applyBorder="0" applyAlignment="0" applyProtection="0"/>
    <xf numFmtId="259" fontId="4" fillId="0" borderId="0"/>
    <xf numFmtId="8" fontId="6" fillId="0" borderId="30" applyFont="0" applyFill="0" applyBorder="0" applyProtection="0">
      <alignment horizontal="right"/>
    </xf>
    <xf numFmtId="0" fontId="15" fillId="0" borderId="0">
      <alignment horizontal="center" wrapText="1"/>
    </xf>
    <xf numFmtId="0" fontId="90" fillId="0" borderId="0"/>
    <xf numFmtId="1" fontId="91" fillId="0" borderId="0"/>
    <xf numFmtId="259" fontId="92" fillId="0" borderId="0" applyFill="0" applyBorder="0">
      <alignment horizontal="right"/>
    </xf>
    <xf numFmtId="0" fontId="3" fillId="0" borderId="17" applyNumberFormat="0"/>
    <xf numFmtId="0" fontId="93" fillId="2" borderId="17" applyNumberFormat="0" applyAlignment="0"/>
    <xf numFmtId="1" fontId="53" fillId="0" borderId="0">
      <protection locked="0"/>
    </xf>
    <xf numFmtId="0" fontId="94" fillId="0" borderId="0" applyProtection="0"/>
    <xf numFmtId="0" fontId="38" fillId="0" borderId="0"/>
    <xf numFmtId="0" fontId="95" fillId="0" borderId="11" applyNumberFormat="0" applyFill="0" applyBorder="0" applyAlignment="0" applyProtection="0">
      <alignment horizontal="center"/>
    </xf>
    <xf numFmtId="0" fontId="96" fillId="0" borderId="11" applyNumberFormat="0" applyFill="0" applyProtection="0">
      <alignment horizontal="left" vertical="center"/>
    </xf>
    <xf numFmtId="0" fontId="56" fillId="0" borderId="0">
      <alignment horizontal="center" wrapText="1"/>
      <protection hidden="1"/>
    </xf>
    <xf numFmtId="0" fontId="97" fillId="0" borderId="38" applyNumberFormat="0" applyFill="0" applyProtection="0">
      <alignment horizontal="center" vertical="center"/>
    </xf>
    <xf numFmtId="0" fontId="98" fillId="0" borderId="11" applyNumberFormat="0" applyFill="0" applyBorder="0" applyProtection="0">
      <alignment horizontal="right" vertical="center"/>
    </xf>
    <xf numFmtId="0" fontId="99" fillId="38" borderId="17" applyNumberFormat="0" applyBorder="0" applyProtection="0">
      <alignment horizontal="center" vertical="center" wrapText="1"/>
    </xf>
    <xf numFmtId="254" fontId="4" fillId="0" borderId="0" applyFill="0" applyBorder="0" applyProtection="0">
      <alignment horizontal="center"/>
    </xf>
    <xf numFmtId="0" fontId="100" fillId="0" borderId="0">
      <alignment horizontal="right"/>
    </xf>
    <xf numFmtId="0" fontId="27" fillId="39" borderId="41" applyNumberFormat="0" applyFont="0" applyProtection="0">
      <alignment horizontal="right"/>
    </xf>
    <xf numFmtId="166" fontId="101" fillId="0" borderId="11" applyBorder="0">
      <alignment horizontal="center"/>
    </xf>
    <xf numFmtId="0" fontId="56" fillId="0" borderId="0" applyFont="0">
      <alignment horizontal="right" vertical="top"/>
    </xf>
    <xf numFmtId="1" fontId="102" fillId="0" borderId="42">
      <alignment vertical="top"/>
    </xf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69" fontId="104" fillId="32" borderId="0" applyFont="0" applyFill="0" applyBorder="0" applyAlignment="0" applyProtection="0"/>
    <xf numFmtId="37" fontId="4" fillId="0" borderId="0"/>
    <xf numFmtId="166" fontId="4" fillId="0" borderId="0"/>
    <xf numFmtId="270" fontId="104" fillId="0" borderId="0" applyFont="0" applyFill="0" applyBorder="0" applyAlignment="0" applyProtection="0">
      <alignment horizontal="left" indent="1"/>
    </xf>
    <xf numFmtId="39" fontId="4" fillId="14" borderId="0"/>
    <xf numFmtId="41" fontId="105" fillId="0" borderId="0" applyFont="0" applyBorder="0">
      <alignment horizontal="right"/>
    </xf>
    <xf numFmtId="41" fontId="15" fillId="0" borderId="8"/>
    <xf numFmtId="266" fontId="4" fillId="0" borderId="0" applyFont="0" applyFill="0" applyBorder="0" applyAlignment="0" applyProtection="0"/>
    <xf numFmtId="178" fontId="106" fillId="0" borderId="0" applyFont="0" applyFill="0" applyBorder="0" applyAlignment="0" applyProtection="0"/>
    <xf numFmtId="178" fontId="15" fillId="0" borderId="8"/>
    <xf numFmtId="166" fontId="35" fillId="0" borderId="0" applyFont="0" applyFill="0" applyBorder="0" applyAlignment="0" applyProtection="0"/>
    <xf numFmtId="39" fontId="35" fillId="0" borderId="0" applyFont="0" applyFill="0" applyBorder="0" applyAlignment="0" applyProtection="0"/>
    <xf numFmtId="174" fontId="4" fillId="0" borderId="8"/>
    <xf numFmtId="43" fontId="5" fillId="0" borderId="0"/>
    <xf numFmtId="171" fontId="35" fillId="0" borderId="0" applyFont="0" applyFill="0" applyBorder="0" applyAlignment="0" applyProtection="0"/>
    <xf numFmtId="271" fontId="4" fillId="0" borderId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72" fontId="4" fillId="0" borderId="0" applyFont="0" applyFill="0" applyBorder="0" applyAlignment="0" applyProtection="0"/>
    <xf numFmtId="40" fontId="6" fillId="0" borderId="0" applyFont="0" applyFill="0" applyBorder="0" applyProtection="0">
      <alignment horizontal="right"/>
    </xf>
    <xf numFmtId="267" fontId="4" fillId="0" borderId="0" applyFont="0" applyFill="0" applyBorder="0" applyAlignment="0" applyProtection="0"/>
    <xf numFmtId="166" fontId="4" fillId="0" borderId="0"/>
    <xf numFmtId="3" fontId="29" fillId="0" borderId="0" applyFont="0" applyFill="0" applyBorder="0" applyAlignment="0" applyProtection="0"/>
    <xf numFmtId="248" fontId="108" fillId="0" borderId="0"/>
    <xf numFmtId="0" fontId="109" fillId="0" borderId="0"/>
    <xf numFmtId="273" fontId="108" fillId="0" borderId="0"/>
    <xf numFmtId="253" fontId="110" fillId="0" borderId="0" applyFill="0" applyBorder="0" applyAlignment="0" applyProtection="0">
      <alignment horizontal="right"/>
      <protection locked="0"/>
    </xf>
    <xf numFmtId="0" fontId="6" fillId="40" borderId="0">
      <alignment horizontal="center" vertical="center" wrapText="1"/>
    </xf>
    <xf numFmtId="166" fontId="111" fillId="0" borderId="0"/>
    <xf numFmtId="274" fontId="94" fillId="0" borderId="0" applyFill="0" applyBorder="0">
      <alignment horizontal="left"/>
    </xf>
    <xf numFmtId="275" fontId="112" fillId="0" borderId="0"/>
    <xf numFmtId="0" fontId="113" fillId="0" borderId="0">
      <alignment horizontal="left"/>
    </xf>
    <xf numFmtId="0" fontId="114" fillId="0" borderId="0"/>
    <xf numFmtId="0" fontId="115" fillId="0" borderId="0">
      <alignment horizontal="left"/>
    </xf>
    <xf numFmtId="0" fontId="38" fillId="0" borderId="11" applyNumberFormat="0" applyFont="0" applyFill="0" applyProtection="0">
      <alignment horizontal="centerContinuous"/>
    </xf>
    <xf numFmtId="0" fontId="38" fillId="0" borderId="0" applyFill="0" applyBorder="0">
      <alignment horizontal="right"/>
      <protection locked="0"/>
    </xf>
    <xf numFmtId="276" fontId="4" fillId="0" borderId="43" applyFont="0" applyFill="0" applyBorder="0" applyAlignment="0" applyProtection="0"/>
    <xf numFmtId="221" fontId="4" fillId="0" borderId="8"/>
    <xf numFmtId="267" fontId="4" fillId="0" borderId="0" applyFont="0" applyFill="0" applyBorder="0" applyAlignment="0" applyProtection="0"/>
    <xf numFmtId="244" fontId="6" fillId="0" borderId="0" applyFont="0" applyFill="0" applyBorder="0" applyAlignment="0"/>
    <xf numFmtId="189" fontId="4" fillId="0" borderId="8"/>
    <xf numFmtId="185" fontId="4" fillId="0" borderId="0" applyFont="0" applyFill="0" applyBorder="0" applyAlignment="0" applyProtection="0"/>
    <xf numFmtId="277" fontId="116" fillId="0" borderId="0" applyFont="0" applyBorder="0"/>
    <xf numFmtId="44" fontId="15" fillId="0" borderId="8"/>
    <xf numFmtId="278" fontId="4" fillId="0" borderId="0" applyFont="0" applyFill="0" applyBorder="0" applyAlignment="0" applyProtection="0"/>
    <xf numFmtId="274" fontId="4" fillId="0" borderId="0" applyFont="0" applyFill="0" applyBorder="0" applyAlignment="0" applyProtection="0"/>
    <xf numFmtId="279" fontId="117" fillId="0" borderId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>
      <alignment horizontal="right"/>
    </xf>
    <xf numFmtId="7" fontId="15" fillId="0" borderId="8"/>
    <xf numFmtId="176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80" fontId="4" fillId="0" borderId="0" applyFont="0" applyFill="0" applyBorder="0" applyAlignment="0" applyProtection="0"/>
    <xf numFmtId="281" fontId="6" fillId="0" borderId="0" applyFont="0" applyFill="0" applyBorder="0" applyAlignment="0" applyProtection="0"/>
    <xf numFmtId="8" fontId="56" fillId="14" borderId="0" applyFont="0" applyFill="0" applyBorder="0" applyAlignment="0" applyProtection="0"/>
    <xf numFmtId="266" fontId="4" fillId="0" borderId="0" applyFont="0" applyFill="0" applyBorder="0" applyAlignment="0" applyProtection="0"/>
    <xf numFmtId="239" fontId="6" fillId="0" borderId="0" applyFont="0" applyFill="0" applyBorder="0" applyAlignment="0" applyProtection="0"/>
    <xf numFmtId="242" fontId="4" fillId="0" borderId="0" applyFill="0" applyBorder="0" applyProtection="0">
      <alignment vertical="center"/>
    </xf>
    <xf numFmtId="15" fontId="27" fillId="0" borderId="0" applyFont="0" applyFill="0" applyBorder="0" applyAlignment="0" applyProtection="0"/>
    <xf numFmtId="223" fontId="38" fillId="0" borderId="0" applyFont="0" applyFill="0" applyBorder="0" applyAlignment="0" applyProtection="0"/>
    <xf numFmtId="175" fontId="4" fillId="0" borderId="0" applyProtection="0">
      <alignment horizontal="right"/>
    </xf>
    <xf numFmtId="175" fontId="24" fillId="0" borderId="0" applyProtection="0"/>
    <xf numFmtId="15" fontId="118" fillId="0" borderId="8" applyBorder="0">
      <alignment horizontal="center"/>
    </xf>
    <xf numFmtId="282" fontId="4" fillId="0" borderId="0" applyFont="0" applyFill="0" applyBorder="0" applyProtection="0"/>
    <xf numFmtId="283" fontId="4" fillId="0" borderId="0" applyFont="0" applyFill="0" applyBorder="0" applyAlignment="0" applyProtection="0"/>
    <xf numFmtId="15" fontId="24" fillId="0" borderId="0" applyFill="0" applyBorder="0" applyAlignment="0"/>
    <xf numFmtId="273" fontId="4" fillId="0" borderId="0" applyFont="0" applyFill="0" applyBorder="0" applyAlignment="0" applyProtection="0"/>
    <xf numFmtId="284" fontId="4" fillId="0" borderId="0" applyFont="0" applyFill="0" applyBorder="0" applyProtection="0"/>
    <xf numFmtId="285" fontId="4" fillId="0" borderId="0" applyFont="0" applyFill="0" applyBorder="0" applyAlignment="0" applyProtection="0"/>
    <xf numFmtId="286" fontId="4" fillId="0" borderId="0" applyFont="0" applyFill="0" applyBorder="0" applyAlignment="0" applyProtection="0"/>
    <xf numFmtId="287" fontId="4" fillId="0" borderId="0" applyFont="0" applyFill="0" applyBorder="0" applyAlignment="0" applyProtection="0"/>
    <xf numFmtId="37" fontId="6" fillId="3" borderId="0" applyFont="0" applyFill="0" applyBorder="0" applyAlignment="0" applyProtection="0"/>
    <xf numFmtId="221" fontId="6" fillId="3" borderId="44" applyFont="0" applyFill="0" applyBorder="0" applyAlignment="0" applyProtection="0"/>
    <xf numFmtId="288" fontId="4" fillId="0" borderId="0" applyFont="0" applyFill="0" applyBorder="0" applyAlignment="0" applyProtection="0"/>
    <xf numFmtId="276" fontId="4" fillId="0" borderId="0" applyFont="0" applyFill="0" applyBorder="0" applyAlignment="0" applyProtection="0"/>
    <xf numFmtId="289" fontId="4" fillId="3" borderId="0" applyFont="0" applyFill="0" applyBorder="0" applyAlignment="0" applyProtection="0"/>
    <xf numFmtId="17" fontId="24" fillId="0" borderId="0" applyFill="0" applyBorder="0">
      <alignment horizontal="right"/>
    </xf>
    <xf numFmtId="290" fontId="24" fillId="0" borderId="11"/>
    <xf numFmtId="291" fontId="4" fillId="0" borderId="0" applyFont="0" applyFill="0" applyBorder="0" applyAlignment="0" applyProtection="0"/>
    <xf numFmtId="292" fontId="4" fillId="0" borderId="0" applyFont="0" applyFill="0" applyBorder="0" applyAlignment="0" applyProtection="0"/>
    <xf numFmtId="236" fontId="4" fillId="0" borderId="0" applyFont="0" applyFill="0" applyBorder="0" applyAlignment="0" applyProtection="0"/>
    <xf numFmtId="0" fontId="107" fillId="0" borderId="0" applyFont="0" applyFill="0" applyBorder="0" applyAlignment="0" applyProtection="0"/>
    <xf numFmtId="293" fontId="4" fillId="0" borderId="0" applyFont="0" applyFill="0" applyBorder="0" applyAlignment="0" applyProtection="0"/>
    <xf numFmtId="14" fontId="14" fillId="0" borderId="0" applyFill="0" applyBorder="0" applyAlignment="0"/>
    <xf numFmtId="14" fontId="24" fillId="2" borderId="5" applyFill="0" applyBorder="0">
      <alignment horizontal="right"/>
    </xf>
    <xf numFmtId="221" fontId="4" fillId="0" borderId="0" applyFill="0" applyBorder="0">
      <alignment horizontal="right"/>
    </xf>
    <xf numFmtId="15" fontId="32" fillId="0" borderId="0" applyFont="0" applyFill="0" applyBorder="0" applyAlignment="0" applyProtection="0">
      <alignment horizontal="center"/>
    </xf>
    <xf numFmtId="14" fontId="68" fillId="0" borderId="0" applyFont="0" applyFill="0" applyBorder="0" applyAlignment="0" applyProtection="0">
      <alignment horizontal="center"/>
    </xf>
    <xf numFmtId="0" fontId="68" fillId="0" borderId="0" applyFont="0" applyFill="0" applyBorder="0" applyAlignment="0" applyProtection="0">
      <alignment horizontal="center"/>
    </xf>
    <xf numFmtId="294" fontId="4" fillId="0" borderId="0" applyFont="0" applyFill="0" applyBorder="0" applyAlignment="0" applyProtection="0"/>
    <xf numFmtId="295" fontId="4" fillId="0" borderId="0" applyFont="0" applyFill="0" applyBorder="0" applyAlignment="0" applyProtection="0"/>
    <xf numFmtId="296" fontId="6" fillId="0" borderId="0" applyFont="0" applyFill="0" applyBorder="0" applyAlignment="0" applyProtection="0"/>
    <xf numFmtId="18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19" fillId="0" borderId="0">
      <protection locked="0"/>
    </xf>
    <xf numFmtId="15" fontId="4" fillId="0" borderId="0"/>
    <xf numFmtId="297" fontId="90" fillId="0" borderId="0"/>
    <xf numFmtId="7" fontId="4" fillId="0" borderId="0"/>
    <xf numFmtId="298" fontId="74" fillId="0" borderId="0" applyFont="0" applyFill="0" applyBorder="0" applyAlignment="0" applyProtection="0"/>
    <xf numFmtId="299" fontId="120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107" fillId="0" borderId="45" applyNumberFormat="0" applyFont="0" applyFill="0" applyAlignment="0" applyProtection="0"/>
    <xf numFmtId="42" fontId="121" fillId="0" borderId="0" applyFill="0" applyBorder="0" applyAlignment="0" applyProtection="0"/>
    <xf numFmtId="254" fontId="4" fillId="0" borderId="19" applyNumberFormat="0" applyFill="0" applyAlignment="0" applyProtection="0"/>
    <xf numFmtId="38" fontId="4" fillId="13" borderId="0" applyNumberFormat="0" applyFont="0" applyBorder="0" applyAlignment="0" applyProtection="0"/>
    <xf numFmtId="174" fontId="122" fillId="0" borderId="46" applyNumberFormat="0" applyAlignment="0" applyProtection="0">
      <alignment vertical="top"/>
    </xf>
    <xf numFmtId="0" fontId="4" fillId="2" borderId="0" applyNumberFormat="0" applyFont="0" applyBorder="0" applyAlignment="0" applyProtection="0"/>
    <xf numFmtId="174" fontId="123" fillId="0" borderId="47" applyNumberFormat="0" applyAlignment="0" applyProtection="0">
      <alignment vertical="top"/>
    </xf>
    <xf numFmtId="206" fontId="124" fillId="0" borderId="0">
      <protection locked="0"/>
    </xf>
    <xf numFmtId="206" fontId="124" fillId="0" borderId="0">
      <protection locked="0"/>
    </xf>
    <xf numFmtId="275" fontId="27" fillId="0" borderId="48" applyNumberFormat="0" applyFont="0" applyFill="0" applyAlignment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8" fontId="32" fillId="0" borderId="0" applyFont="0" applyFill="0" applyBorder="0" applyAlignment="0" applyProtection="0">
      <alignment horizontal="right"/>
    </xf>
    <xf numFmtId="237" fontId="35" fillId="0" borderId="0" applyFont="0" applyFill="0" applyBorder="0" applyProtection="0">
      <alignment horizontal="left"/>
      <protection locked="0"/>
    </xf>
    <xf numFmtId="238" fontId="35" fillId="0" borderId="0" applyFont="0" applyFill="0" applyBorder="0" applyProtection="0">
      <alignment horizontal="left"/>
      <protection locked="0"/>
    </xf>
    <xf numFmtId="253" fontId="125" fillId="0" borderId="0" applyFill="0" applyBorder="0" applyAlignment="0" applyProtection="0"/>
    <xf numFmtId="284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240" fontId="6" fillId="0" borderId="0" applyFont="0" applyFill="0" applyBorder="0" applyAlignment="0" applyProtection="0"/>
    <xf numFmtId="300" fontId="4" fillId="0" borderId="0" applyFont="0" applyFill="0" applyBorder="0" applyAlignment="0" applyProtection="0"/>
    <xf numFmtId="301" fontId="4" fillId="0" borderId="0" applyFont="0" applyFill="0" applyBorder="0" applyAlignment="0" applyProtection="0"/>
    <xf numFmtId="0" fontId="38" fillId="0" borderId="0" applyNumberFormat="0" applyFill="0" applyBorder="0" applyAlignment="0"/>
    <xf numFmtId="0" fontId="4" fillId="0" borderId="0">
      <alignment horizontal="right" vertical="top"/>
    </xf>
    <xf numFmtId="210" fontId="4" fillId="0" borderId="0">
      <alignment horizontal="right" vertical="top"/>
    </xf>
    <xf numFmtId="210" fontId="4" fillId="0" borderId="0">
      <alignment horizontal="right" vertical="top"/>
    </xf>
    <xf numFmtId="265" fontId="4" fillId="0" borderId="0" applyFill="0" applyBorder="0">
      <alignment horizontal="right" vertical="top"/>
    </xf>
    <xf numFmtId="242" fontId="4" fillId="0" borderId="0" applyFill="0" applyBorder="0">
      <alignment horizontal="right" vertical="top"/>
    </xf>
    <xf numFmtId="208" fontId="4" fillId="0" borderId="0" applyFill="0" applyBorder="0">
      <alignment horizontal="right" vertical="top"/>
    </xf>
    <xf numFmtId="214" fontId="4" fillId="0" borderId="0" applyFill="0" applyBorder="0">
      <alignment horizontal="right" vertical="top"/>
    </xf>
    <xf numFmtId="0" fontId="126" fillId="0" borderId="0">
      <alignment horizontal="center" wrapText="1"/>
    </xf>
    <xf numFmtId="214" fontId="94" fillId="0" borderId="0" applyFill="0" applyBorder="0">
      <alignment vertical="top"/>
    </xf>
    <xf numFmtId="214" fontId="99" fillId="0" borderId="0" applyFill="0" applyBorder="0" applyProtection="0">
      <alignment vertical="top"/>
    </xf>
    <xf numFmtId="214" fontId="127" fillId="0" borderId="0">
      <alignment vertical="top"/>
    </xf>
    <xf numFmtId="41" fontId="128" fillId="0" borderId="0" applyFill="0" applyBorder="0" applyAlignment="0" applyProtection="0">
      <alignment horizontal="right" vertical="top"/>
    </xf>
    <xf numFmtId="214" fontId="30" fillId="0" borderId="0"/>
    <xf numFmtId="0" fontId="128" fillId="0" borderId="0" applyFill="0" applyBorder="0">
      <alignment horizontal="left" vertical="top"/>
    </xf>
    <xf numFmtId="268" fontId="74" fillId="41" borderId="13">
      <alignment horizontal="left"/>
    </xf>
    <xf numFmtId="302" fontId="119" fillId="0" borderId="0">
      <protection locked="0"/>
    </xf>
    <xf numFmtId="183" fontId="119" fillId="0" borderId="0">
      <protection locked="0"/>
    </xf>
    <xf numFmtId="243" fontId="90" fillId="0" borderId="0"/>
    <xf numFmtId="249" fontId="6" fillId="3" borderId="0" applyFont="0" applyFill="0" applyBorder="0" applyAlignment="0"/>
    <xf numFmtId="2" fontId="29" fillId="0" borderId="0" applyFont="0" applyFill="0" applyBorder="0" applyAlignment="0" applyProtection="0"/>
    <xf numFmtId="0" fontId="129" fillId="0" borderId="0">
      <alignment horizontal="left"/>
    </xf>
    <xf numFmtId="0" fontId="130" fillId="0" borderId="0">
      <alignment horizontal="left"/>
    </xf>
    <xf numFmtId="0" fontId="131" fillId="0" borderId="0" applyFill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32" fillId="0" borderId="0" applyFill="0" applyBorder="0" applyProtection="0">
      <alignment horizontal="left"/>
    </xf>
    <xf numFmtId="303" fontId="4" fillId="0" borderId="0" applyFont="0" applyFill="0" applyBorder="0" applyAlignment="0" applyProtection="0"/>
    <xf numFmtId="304" fontId="4" fillId="0" borderId="0" applyFont="0" applyFill="0" applyBorder="0" applyAlignment="0" applyProtection="0"/>
    <xf numFmtId="305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21" fontId="32" fillId="0" borderId="0" applyFill="0" applyBorder="0" applyAlignment="0" applyProtection="0">
      <protection locked="0"/>
    </xf>
    <xf numFmtId="0" fontId="132" fillId="0" borderId="0" applyFont="0" applyFill="0" applyBorder="0" applyProtection="0">
      <alignment horizontal="center" wrapText="1"/>
    </xf>
    <xf numFmtId="278" fontId="4" fillId="0" borderId="0" applyFont="0" applyFill="0" applyBorder="0" applyProtection="0">
      <alignment horizontal="right"/>
    </xf>
    <xf numFmtId="2" fontId="6" fillId="3" borderId="4" applyFill="0" applyBorder="0" applyProtection="0">
      <alignment horizontal="center"/>
    </xf>
    <xf numFmtId="38" fontId="4" fillId="13" borderId="0" applyNumberFormat="0" applyFont="0" applyBorder="0" applyAlignment="0">
      <protection hidden="1"/>
    </xf>
    <xf numFmtId="0" fontId="133" fillId="0" borderId="0" applyFill="0" applyBorder="0" applyAlignment="0" applyProtection="0"/>
    <xf numFmtId="280" fontId="134" fillId="0" borderId="0" applyAlignment="0">
      <alignment horizontal="left"/>
      <protection locked="0"/>
    </xf>
    <xf numFmtId="234" fontId="4" fillId="0" borderId="0"/>
    <xf numFmtId="235" fontId="4" fillId="0" borderId="0"/>
    <xf numFmtId="0" fontId="35" fillId="0" borderId="0"/>
    <xf numFmtId="306" fontId="4" fillId="0" borderId="0">
      <alignment horizontal="right"/>
    </xf>
    <xf numFmtId="0" fontId="6" fillId="0" borderId="0">
      <alignment horizontal="right"/>
    </xf>
    <xf numFmtId="9" fontId="106" fillId="0" borderId="0">
      <alignment horizontal="right"/>
    </xf>
    <xf numFmtId="0" fontId="6" fillId="0" borderId="0">
      <alignment horizontal="right"/>
    </xf>
    <xf numFmtId="267" fontId="135" fillId="0" borderId="0" applyFill="0" applyBorder="0" applyAlignment="0" applyProtection="0"/>
    <xf numFmtId="0" fontId="4" fillId="0" borderId="0"/>
    <xf numFmtId="170" fontId="24" fillId="3" borderId="17" applyNumberFormat="0" applyFont="0" applyAlignment="0"/>
    <xf numFmtId="0" fontId="107" fillId="0" borderId="0" applyFont="0" applyFill="0" applyBorder="0" applyAlignment="0" applyProtection="0">
      <alignment horizontal="right"/>
    </xf>
    <xf numFmtId="303" fontId="6" fillId="0" borderId="0">
      <alignment horizontal="right"/>
    </xf>
    <xf numFmtId="0" fontId="8" fillId="0" borderId="0">
      <alignment horizontal="right"/>
    </xf>
    <xf numFmtId="0" fontId="136" fillId="42" borderId="0" applyNumberFormat="0" applyBorder="0" applyProtection="0">
      <alignment horizontal="left" vertical="center"/>
    </xf>
    <xf numFmtId="0" fontId="137" fillId="1" borderId="0" applyNumberFormat="0" applyBorder="0" applyProtection="0">
      <alignment horizontal="left" vertical="center"/>
    </xf>
    <xf numFmtId="0" fontId="138" fillId="0" borderId="0" applyProtection="0">
      <alignment horizontal="right"/>
    </xf>
    <xf numFmtId="0" fontId="139" fillId="0" borderId="0">
      <alignment horizontal="left"/>
    </xf>
    <xf numFmtId="0" fontId="139" fillId="0" borderId="0">
      <alignment horizontal="left"/>
    </xf>
    <xf numFmtId="0" fontId="15" fillId="0" borderId="24" applyNumberFormat="0" applyAlignment="0" applyProtection="0">
      <alignment horizontal="left" vertical="center"/>
    </xf>
    <xf numFmtId="0" fontId="15" fillId="0" borderId="2">
      <alignment horizontal="left" vertical="center"/>
    </xf>
    <xf numFmtId="0" fontId="41" fillId="0" borderId="0" applyFill="0" applyBorder="0" applyProtection="0">
      <alignment horizontal="right"/>
    </xf>
    <xf numFmtId="0" fontId="140" fillId="0" borderId="0">
      <alignment horizontal="left"/>
    </xf>
    <xf numFmtId="0" fontId="141" fillId="0" borderId="13">
      <alignment horizontal="left" vertical="top"/>
    </xf>
    <xf numFmtId="0" fontId="142" fillId="0" borderId="0">
      <alignment horizontal="left"/>
    </xf>
    <xf numFmtId="0" fontId="143" fillId="0" borderId="13">
      <alignment horizontal="left" vertical="top"/>
    </xf>
    <xf numFmtId="0" fontId="144" fillId="0" borderId="0">
      <alignment horizontal="left"/>
    </xf>
    <xf numFmtId="0" fontId="145" fillId="0" borderId="0"/>
    <xf numFmtId="246" fontId="146" fillId="9" borderId="0"/>
    <xf numFmtId="246" fontId="146" fillId="16" borderId="0"/>
    <xf numFmtId="246" fontId="146" fillId="2" borderId="0"/>
    <xf numFmtId="185" fontId="35" fillId="0" borderId="0" applyFont="0" applyFill="0" applyBorder="0" applyAlignment="0" applyProtection="0"/>
    <xf numFmtId="185" fontId="6" fillId="0" borderId="0" applyFont="0" applyFill="0" applyBorder="0" applyAlignment="0" applyProtection="0"/>
    <xf numFmtId="275" fontId="147" fillId="43" borderId="0" applyNumberFormat="0" applyBorder="0" applyAlignment="0"/>
    <xf numFmtId="174" fontId="148" fillId="0" borderId="0" applyAlignment="0" applyProtection="0"/>
    <xf numFmtId="166" fontId="149" fillId="0" borderId="0" applyProtection="0">
      <alignment horizontal="right"/>
    </xf>
    <xf numFmtId="166" fontId="8" fillId="0" borderId="0" applyFill="0" applyBorder="0" applyAlignment="0" applyProtection="0"/>
    <xf numFmtId="255" fontId="148" fillId="0" borderId="0" applyFill="0" applyBorder="0" applyAlignment="0" applyProtection="0"/>
    <xf numFmtId="0" fontId="59" fillId="0" borderId="0">
      <alignment horizontal="center"/>
    </xf>
    <xf numFmtId="8" fontId="4" fillId="28" borderId="0" applyNumberFormat="0" applyFont="0" applyAlignment="0" applyProtection="0">
      <alignment horizontal="right"/>
      <protection locked="0"/>
    </xf>
    <xf numFmtId="275" fontId="8" fillId="0" borderId="0"/>
    <xf numFmtId="38" fontId="32" fillId="0" borderId="0" applyFont="0" applyFill="0" applyBorder="0" applyAlignment="0" applyProtection="0">
      <protection locked="0"/>
    </xf>
    <xf numFmtId="307" fontId="4" fillId="0" borderId="0" applyFont="0" applyFill="0" applyBorder="0" applyProtection="0">
      <alignment horizontal="left"/>
    </xf>
    <xf numFmtId="237" fontId="4" fillId="0" borderId="0" applyFont="0" applyFill="0" applyBorder="0" applyProtection="0">
      <alignment horizontal="left"/>
    </xf>
    <xf numFmtId="238" fontId="4" fillId="0" borderId="0" applyFont="0" applyFill="0" applyBorder="0" applyProtection="0">
      <alignment horizontal="left"/>
    </xf>
    <xf numFmtId="239" fontId="4" fillId="0" borderId="0" applyFont="0" applyFill="0" applyBorder="0" applyProtection="0">
      <alignment horizontal="left"/>
    </xf>
    <xf numFmtId="175" fontId="27" fillId="0" borderId="0"/>
    <xf numFmtId="174" fontId="150" fillId="13" borderId="0">
      <protection locked="0"/>
    </xf>
    <xf numFmtId="167" fontId="149" fillId="3" borderId="0"/>
    <xf numFmtId="10" fontId="4" fillId="3" borderId="17" applyNumberFormat="0" applyBorder="0" applyAlignment="0" applyProtection="0"/>
    <xf numFmtId="3" fontId="151" fillId="13" borderId="0">
      <alignment horizontal="right"/>
      <protection locked="0"/>
    </xf>
    <xf numFmtId="275" fontId="150" fillId="13" borderId="0" applyBorder="0">
      <alignment horizontal="right"/>
      <protection locked="0"/>
    </xf>
    <xf numFmtId="176" fontId="149" fillId="3" borderId="0"/>
    <xf numFmtId="8" fontId="4" fillId="3" borderId="0" applyFont="0" applyBorder="0" applyAlignment="0" applyProtection="0">
      <protection locked="0"/>
    </xf>
    <xf numFmtId="221" fontId="6" fillId="3" borderId="0" applyFont="0" applyBorder="0" applyAlignment="0" applyProtection="0">
      <protection locked="0"/>
    </xf>
    <xf numFmtId="249" fontId="6" fillId="3" borderId="0" applyFont="0" applyBorder="0" applyAlignment="0">
      <protection locked="0"/>
    </xf>
    <xf numFmtId="0" fontId="152" fillId="0" borderId="0" applyNumberFormat="0" applyFill="0" applyBorder="0" applyAlignment="0" applyProtection="0"/>
    <xf numFmtId="252" fontId="149" fillId="3" borderId="0"/>
    <xf numFmtId="221" fontId="4" fillId="3" borderId="0">
      <protection locked="0"/>
    </xf>
    <xf numFmtId="37" fontId="149" fillId="3" borderId="0"/>
    <xf numFmtId="166" fontId="149" fillId="3" borderId="0"/>
    <xf numFmtId="0" fontId="3" fillId="2" borderId="0" applyNumberFormat="0"/>
    <xf numFmtId="306" fontId="4" fillId="3" borderId="0" applyFont="0" applyBorder="0" applyAlignment="0">
      <protection locked="0"/>
    </xf>
    <xf numFmtId="10" fontId="4" fillId="3" borderId="0">
      <protection locked="0"/>
    </xf>
    <xf numFmtId="274" fontId="6" fillId="3" borderId="0" applyFont="0" applyBorder="0" applyAlignment="0">
      <protection locked="0"/>
    </xf>
    <xf numFmtId="221" fontId="93" fillId="3" borderId="0" applyNumberFormat="0" applyBorder="0" applyAlignment="0">
      <protection locked="0"/>
    </xf>
    <xf numFmtId="308" fontId="149" fillId="0" borderId="0" applyProtection="0">
      <alignment horizontal="right"/>
    </xf>
    <xf numFmtId="306" fontId="153" fillId="3" borderId="17"/>
    <xf numFmtId="38" fontId="153" fillId="3" borderId="17"/>
    <xf numFmtId="40" fontId="153" fillId="3" borderId="17"/>
    <xf numFmtId="0" fontId="149" fillId="0" borderId="0" applyNumberFormat="0" applyFill="0" applyBorder="0" applyAlignment="0">
      <protection locked="0"/>
    </xf>
    <xf numFmtId="0" fontId="154" fillId="0" borderId="0" applyNumberFormat="0" applyFill="0" applyBorder="0" applyAlignment="0"/>
    <xf numFmtId="309" fontId="4" fillId="0" borderId="0" applyFill="0" applyBorder="0" applyProtection="0">
      <alignment vertical="center"/>
    </xf>
    <xf numFmtId="242" fontId="4" fillId="0" borderId="0" applyFill="0" applyBorder="0" applyProtection="0">
      <alignment vertical="center"/>
    </xf>
    <xf numFmtId="14" fontId="149" fillId="3" borderId="20" applyProtection="0">
      <alignment horizontal="right"/>
    </xf>
    <xf numFmtId="0" fontId="155" fillId="0" borderId="0" applyProtection="0"/>
    <xf numFmtId="310" fontId="4" fillId="0" borderId="0" applyFill="0" applyBorder="0" applyProtection="0">
      <alignment vertical="center"/>
    </xf>
    <xf numFmtId="311" fontId="149" fillId="3" borderId="49" applyProtection="0"/>
    <xf numFmtId="312" fontId="4" fillId="0" borderId="0" applyFill="0" applyBorder="0" applyProtection="0">
      <alignment vertical="center"/>
    </xf>
    <xf numFmtId="221" fontId="4" fillId="3" borderId="0" applyNumberFormat="0" applyFont="0" applyBorder="0" applyAlignment="0" applyProtection="0">
      <alignment horizontal="center"/>
      <protection locked="0"/>
    </xf>
    <xf numFmtId="172" fontId="90" fillId="0" borderId="0"/>
    <xf numFmtId="0" fontId="38" fillId="0" borderId="0" applyFill="0" applyBorder="0">
      <alignment horizontal="right"/>
      <protection locked="0"/>
    </xf>
    <xf numFmtId="0" fontId="6" fillId="20" borderId="50">
      <alignment horizontal="left" vertical="center" wrapText="1"/>
    </xf>
    <xf numFmtId="313" fontId="4" fillId="0" borderId="0" applyFont="0" applyFill="0" applyBorder="0" applyAlignment="0" applyProtection="0"/>
    <xf numFmtId="255" fontId="4" fillId="0" borderId="0" applyFont="0" applyFill="0" applyBorder="0" applyAlignment="0" applyProtection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 applyNumberFormat="0" applyFont="0" applyBorder="0" applyProtection="0"/>
    <xf numFmtId="175" fontId="6" fillId="0" borderId="0" applyFont="0" applyFill="0" applyAlignment="0" applyProtection="0"/>
    <xf numFmtId="253" fontId="133" fillId="0" borderId="0" applyFill="0" applyBorder="0" applyAlignment="0" applyProtection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159" fillId="0" borderId="0" applyNumberFormat="0" applyFont="0" applyFill="0" applyBorder="0" applyAlignment="0">
      <protection hidden="1"/>
    </xf>
    <xf numFmtId="0" fontId="160" fillId="0" borderId="3">
      <alignment horizontal="left"/>
    </xf>
    <xf numFmtId="0" fontId="161" fillId="0" borderId="0">
      <alignment horizontal="left"/>
    </xf>
    <xf numFmtId="314" fontId="6" fillId="0" borderId="0" applyFont="0" applyFill="0" applyBorder="0" applyAlignment="0" applyProtection="0"/>
    <xf numFmtId="14" fontId="24" fillId="0" borderId="11" applyFont="0" applyFill="0" applyBorder="0" applyAlignment="0" applyProtection="0"/>
    <xf numFmtId="3" fontId="6" fillId="0" borderId="0"/>
    <xf numFmtId="0" fontId="162" fillId="0" borderId="11" applyFill="0" applyAlignment="0"/>
    <xf numFmtId="0" fontId="163" fillId="0" borderId="0" applyNumberFormat="0" applyFill="0" applyBorder="0" applyProtection="0">
      <alignment horizontal="left" vertical="center"/>
    </xf>
    <xf numFmtId="0" fontId="164" fillId="0" borderId="0" applyFill="0" applyBorder="0" applyAlignment="0" applyProtection="0"/>
    <xf numFmtId="210" fontId="56" fillId="0" borderId="0" applyFont="0" applyFill="0" applyBorder="0" applyAlignment="0" applyProtection="0"/>
    <xf numFmtId="315" fontId="38" fillId="0" borderId="0" applyFont="0" applyFill="0" applyBorder="0" applyAlignment="0" applyProtection="0"/>
    <xf numFmtId="38" fontId="56" fillId="0" borderId="0" applyFont="0" applyFill="0" applyBorder="0" applyAlignment="0" applyProtection="0"/>
    <xf numFmtId="40" fontId="56" fillId="0" borderId="0" applyFont="0" applyFill="0" applyBorder="0" applyAlignment="0" applyProtection="0"/>
    <xf numFmtId="316" fontId="4" fillId="0" borderId="0" applyFont="0" applyFill="0" applyBorder="0" applyAlignment="0" applyProtection="0"/>
    <xf numFmtId="196" fontId="4" fillId="0" borderId="0" applyFont="0" applyFill="0" applyBorder="0" applyAlignment="0" applyProtection="0"/>
    <xf numFmtId="272" fontId="4" fillId="0" borderId="51" applyFont="0" applyFill="0" applyBorder="0" applyAlignment="0" applyProtection="0">
      <alignment horizontal="center"/>
    </xf>
    <xf numFmtId="317" fontId="6" fillId="0" borderId="0" applyFont="0" applyFill="0" applyBorder="0" applyAlignment="0" applyProtection="0"/>
    <xf numFmtId="37" fontId="72" fillId="0" borderId="0" applyFont="0" applyFill="0" applyBorder="0" applyAlignment="0" applyProtection="0"/>
    <xf numFmtId="316" fontId="66" fillId="0" borderId="0" applyFont="0" applyFill="0" applyBorder="0" applyAlignment="0" applyProtection="0"/>
    <xf numFmtId="281" fontId="4" fillId="0" borderId="0" applyFont="0" applyFill="0" applyBorder="0" applyAlignment="0" applyProtection="0"/>
    <xf numFmtId="318" fontId="72" fillId="0" borderId="0" applyFont="0" applyFill="0" applyBorder="0" applyAlignment="0" applyProtection="0"/>
    <xf numFmtId="319" fontId="72" fillId="0" borderId="0" applyFont="0" applyFill="0" applyBorder="0" applyAlignment="0" applyProtection="0"/>
    <xf numFmtId="312" fontId="4" fillId="0" borderId="0" applyFont="0" applyFill="0" applyBorder="0" applyAlignment="0" applyProtection="0"/>
    <xf numFmtId="309" fontId="4" fillId="0" borderId="0" applyFont="0" applyFill="0" applyBorder="0" applyAlignment="0" applyProtection="0"/>
    <xf numFmtId="3" fontId="38" fillId="0" borderId="0"/>
    <xf numFmtId="234" fontId="4" fillId="45" borderId="0" applyFill="0" applyBorder="0" applyAlignment="0" applyProtection="0">
      <alignment horizontal="center"/>
      <protection locked="0"/>
    </xf>
    <xf numFmtId="3" fontId="38" fillId="0" borderId="0"/>
    <xf numFmtId="320" fontId="4" fillId="0" borderId="0" applyFont="0" applyFill="0" applyBorder="0" applyAlignment="0" applyProtection="0"/>
    <xf numFmtId="310" fontId="4" fillId="0" borderId="0" applyFont="0" applyFill="0" applyBorder="0" applyAlignment="0" applyProtection="0"/>
    <xf numFmtId="184" fontId="119" fillId="0" borderId="0">
      <protection locked="0"/>
    </xf>
    <xf numFmtId="3" fontId="56" fillId="0" borderId="0" applyFont="0" applyAlignment="0"/>
    <xf numFmtId="17" fontId="4" fillId="0" borderId="0">
      <alignment horizontal="right"/>
    </xf>
    <xf numFmtId="290" fontId="4" fillId="3" borderId="0">
      <alignment horizontal="center"/>
    </xf>
    <xf numFmtId="292" fontId="4" fillId="0" borderId="0"/>
    <xf numFmtId="0" fontId="107" fillId="0" borderId="0" applyFont="0" applyFill="0" applyBorder="0" applyAlignment="0" applyProtection="0">
      <alignment horizontal="right"/>
    </xf>
    <xf numFmtId="321" fontId="32" fillId="0" borderId="0" applyFont="0" applyFill="0" applyBorder="0" applyAlignment="0" applyProtection="0"/>
    <xf numFmtId="0" fontId="38" fillId="0" borderId="0" applyFont="0" applyFill="0" applyBorder="0" applyAlignment="0" applyProtection="0"/>
    <xf numFmtId="318" fontId="32" fillId="0" borderId="0" applyFont="0" applyFill="0" applyBorder="0" applyAlignment="0" applyProtection="0"/>
    <xf numFmtId="281" fontId="4" fillId="0" borderId="0"/>
    <xf numFmtId="0" fontId="72" fillId="0" borderId="0" applyFont="0" applyFill="0" applyBorder="0" applyAlignment="0" applyProtection="0">
      <alignment horizontal="right"/>
    </xf>
    <xf numFmtId="0" fontId="4" fillId="0" borderId="0" applyProtection="0">
      <alignment horizontal="right"/>
    </xf>
    <xf numFmtId="174" fontId="6" fillId="3" borderId="1" applyProtection="0">
      <alignment horizontal="right"/>
    </xf>
    <xf numFmtId="272" fontId="4" fillId="14" borderId="0"/>
    <xf numFmtId="242" fontId="38" fillId="0" borderId="0"/>
    <xf numFmtId="178" fontId="38" fillId="0" borderId="0"/>
    <xf numFmtId="43" fontId="38" fillId="0" borderId="0"/>
    <xf numFmtId="196" fontId="6" fillId="13" borderId="0" applyFont="0" applyBorder="0" applyAlignment="0" applyProtection="0">
      <alignment horizontal="right"/>
      <protection hidden="1"/>
    </xf>
    <xf numFmtId="0" fontId="165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55" fillId="0" borderId="0" applyNumberFormat="0" applyFill="0" applyAlignment="0" applyProtection="0"/>
    <xf numFmtId="37" fontId="166" fillId="0" borderId="0"/>
    <xf numFmtId="314" fontId="4" fillId="0" borderId="0" applyFont="0" applyFill="0" applyBorder="0" applyAlignment="0" applyProtection="0"/>
    <xf numFmtId="0" fontId="56" fillId="0" borderId="0"/>
    <xf numFmtId="1" fontId="38" fillId="0" borderId="0"/>
    <xf numFmtId="176" fontId="148" fillId="0" borderId="0" applyFill="0" applyBorder="0" applyAlignment="0" applyProtection="0"/>
    <xf numFmtId="166" fontId="149" fillId="3" borderId="20">
      <alignment horizontal="right"/>
    </xf>
    <xf numFmtId="0" fontId="4" fillId="0" borderId="0" applyFont="0" applyFill="0" applyBorder="0" applyAlignment="0" applyProtection="0">
      <alignment horizontal="right"/>
    </xf>
    <xf numFmtId="217" fontId="6" fillId="0" borderId="0"/>
    <xf numFmtId="1" fontId="167" fillId="0" borderId="0" applyFill="0" applyBorder="0"/>
    <xf numFmtId="38" fontId="4" fillId="0" borderId="17" applyFont="0" applyFill="0" applyBorder="0" applyAlignment="0" applyProtection="0"/>
    <xf numFmtId="221" fontId="6" fillId="0" borderId="0" applyFont="0" applyFill="0" applyBorder="0" applyAlignment="0"/>
    <xf numFmtId="40" fontId="4" fillId="0" borderId="0" applyFont="0" applyFill="0" applyBorder="0" applyAlignment="0"/>
    <xf numFmtId="0" fontId="4" fillId="0" borderId="0" applyFont="0" applyFill="0" applyBorder="0" applyAlignment="0"/>
    <xf numFmtId="176" fontId="4" fillId="0" borderId="0" applyFont="0" applyFill="0" applyBorder="0" applyAlignment="0" applyProtection="0">
      <protection locked="0"/>
    </xf>
    <xf numFmtId="221" fontId="24" fillId="0" borderId="0" applyNumberFormat="0" applyFill="0" applyBorder="0" applyAlignment="0" applyProtection="0"/>
    <xf numFmtId="3" fontId="168" fillId="0" borderId="0">
      <alignment horizontal="left"/>
    </xf>
    <xf numFmtId="243" fontId="6" fillId="0" borderId="0" applyFont="0" applyFill="0" applyBorder="0" applyAlignment="0" applyProtection="0"/>
    <xf numFmtId="174" fontId="169" fillId="0" borderId="0"/>
    <xf numFmtId="166" fontId="149" fillId="3" borderId="20">
      <alignment horizontal="right"/>
    </xf>
    <xf numFmtId="314" fontId="4" fillId="0" borderId="0" applyFill="0" applyBorder="0" applyProtection="0">
      <alignment vertical="center"/>
    </xf>
    <xf numFmtId="40" fontId="24" fillId="0" borderId="0">
      <alignment horizontal="left"/>
    </xf>
    <xf numFmtId="176" fontId="35" fillId="0" borderId="0" applyFill="0" applyBorder="0" applyAlignment="0" applyProtection="0"/>
    <xf numFmtId="0" fontId="6" fillId="0" borderId="0"/>
    <xf numFmtId="221" fontId="4" fillId="0" borderId="0"/>
    <xf numFmtId="0" fontId="27" fillId="0" borderId="0" applyFont="0" applyBorder="0" applyAlignment="0"/>
    <xf numFmtId="0" fontId="6" fillId="0" borderId="0"/>
    <xf numFmtId="250" fontId="6" fillId="0" borderId="0" applyFont="0" applyFill="0" applyBorder="0" applyAlignment="0" applyProtection="0"/>
    <xf numFmtId="271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70" fillId="0" borderId="52"/>
    <xf numFmtId="221" fontId="6" fillId="0" borderId="0" applyFont="0" applyFill="0" applyBorder="0" applyAlignment="0" applyProtection="0"/>
    <xf numFmtId="192" fontId="35" fillId="0" borderId="14" applyFont="0" applyFill="0" applyBorder="0" applyAlignment="0" applyProtection="0"/>
    <xf numFmtId="41" fontId="106" fillId="0" borderId="0" applyFont="0" applyFill="0" applyBorder="0" applyAlignment="0" applyProtection="0"/>
    <xf numFmtId="254" fontId="4" fillId="0" borderId="0" applyFill="0" applyBorder="0" applyAlignment="0" applyProtection="0"/>
    <xf numFmtId="247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0" fontId="4" fillId="0" borderId="0" applyFont="0" applyBorder="0" applyAlignment="0"/>
    <xf numFmtId="313" fontId="4" fillId="0" borderId="0" applyBorder="0" applyProtection="0"/>
    <xf numFmtId="0" fontId="66" fillId="0" borderId="45"/>
    <xf numFmtId="0" fontId="6" fillId="0" borderId="0">
      <alignment horizontal="left"/>
    </xf>
    <xf numFmtId="175" fontId="171" fillId="46" borderId="0">
      <alignment horizontal="right"/>
    </xf>
    <xf numFmtId="311" fontId="4" fillId="46" borderId="0">
      <alignment horizontal="right"/>
    </xf>
    <xf numFmtId="176" fontId="171" fillId="47" borderId="0">
      <alignment horizontal="right"/>
    </xf>
    <xf numFmtId="213" fontId="4" fillId="46" borderId="0">
      <alignment horizontal="right"/>
    </xf>
    <xf numFmtId="317" fontId="4" fillId="46" borderId="0">
      <alignment horizontal="right"/>
    </xf>
    <xf numFmtId="256" fontId="4" fillId="46" borderId="0">
      <alignment horizontal="right"/>
    </xf>
    <xf numFmtId="0" fontId="35" fillId="0" borderId="0" applyProtection="0"/>
    <xf numFmtId="9" fontId="35" fillId="0" borderId="0" applyProtection="0">
      <alignment horizontal="right"/>
    </xf>
    <xf numFmtId="0" fontId="6" fillId="0" borderId="0" applyNumberFormat="0" applyFont="0" applyBorder="0" applyAlignment="0"/>
    <xf numFmtId="166" fontId="107" fillId="0" borderId="0" applyNumberFormat="0" applyFill="0" applyBorder="0" applyAlignment="0" applyProtection="0"/>
    <xf numFmtId="174" fontId="158" fillId="0" borderId="0"/>
    <xf numFmtId="37" fontId="4" fillId="0" borderId="0" applyBorder="0">
      <protection locked="0"/>
    </xf>
    <xf numFmtId="300" fontId="4" fillId="0" borderId="0"/>
    <xf numFmtId="262" fontId="4" fillId="0" borderId="0"/>
    <xf numFmtId="301" fontId="4" fillId="0" borderId="0"/>
    <xf numFmtId="263" fontId="4" fillId="0" borderId="0"/>
    <xf numFmtId="300" fontId="4" fillId="0" borderId="0"/>
    <xf numFmtId="262" fontId="4" fillId="0" borderId="0"/>
    <xf numFmtId="10" fontId="38" fillId="0" borderId="14"/>
    <xf numFmtId="10" fontId="38" fillId="0" borderId="14"/>
    <xf numFmtId="301" fontId="4" fillId="0" borderId="0"/>
    <xf numFmtId="263" fontId="4" fillId="0" borderId="0"/>
    <xf numFmtId="7" fontId="35" fillId="0" borderId="0"/>
    <xf numFmtId="0" fontId="4" fillId="0" borderId="0"/>
    <xf numFmtId="220" fontId="35" fillId="0" borderId="0"/>
    <xf numFmtId="300" fontId="4" fillId="0" borderId="0"/>
    <xf numFmtId="262" fontId="4" fillId="0" borderId="0"/>
    <xf numFmtId="313" fontId="4" fillId="0" borderId="0"/>
    <xf numFmtId="265" fontId="4" fillId="0" borderId="0"/>
    <xf numFmtId="174" fontId="172" fillId="0" borderId="0" applyFont="0" applyFill="0" applyBorder="0" applyAlignment="0" applyProtection="0"/>
    <xf numFmtId="0" fontId="173" fillId="0" borderId="0"/>
    <xf numFmtId="0" fontId="174" fillId="0" borderId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1" fontId="6" fillId="0" borderId="0" applyProtection="0">
      <alignment horizontal="right" vertical="center"/>
    </xf>
    <xf numFmtId="8" fontId="33" fillId="48" borderId="0" applyNumberFormat="0" applyFont="0" applyBorder="0" applyAlignment="0" applyProtection="0"/>
    <xf numFmtId="196" fontId="6" fillId="0" borderId="0" applyFill="0"/>
    <xf numFmtId="167" fontId="4" fillId="0" borderId="0"/>
    <xf numFmtId="281" fontId="4" fillId="0" borderId="0" applyFill="0" applyBorder="0"/>
    <xf numFmtId="174" fontId="60" fillId="0" borderId="0"/>
    <xf numFmtId="242" fontId="4" fillId="0" borderId="0" applyFont="0" applyFill="0" applyBorder="0" applyAlignment="0" applyProtection="0"/>
    <xf numFmtId="174" fontId="175" fillId="0" borderId="52" applyBorder="0"/>
    <xf numFmtId="174" fontId="176" fillId="0" borderId="0">
      <alignment horizontal="right"/>
    </xf>
    <xf numFmtId="0" fontId="31" fillId="0" borderId="0"/>
    <xf numFmtId="0" fontId="4" fillId="0" borderId="0"/>
    <xf numFmtId="175" fontId="4" fillId="0" borderId="0" applyFont="0" applyFill="0" applyBorder="0" applyAlignment="0" applyProtection="0">
      <protection hidden="1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>
      <protection hidden="1"/>
    </xf>
    <xf numFmtId="0" fontId="177" fillId="0" borderId="0"/>
    <xf numFmtId="311" fontId="84" fillId="3" borderId="20">
      <alignment horizontal="right"/>
    </xf>
    <xf numFmtId="174" fontId="42" fillId="0" borderId="0" applyFont="0" applyFill="0" applyBorder="0" applyAlignment="0" applyProtection="0"/>
    <xf numFmtId="10" fontId="42" fillId="0" borderId="0" applyFont="0" applyFill="0" applyBorder="0" applyAlignment="0" applyProtection="0"/>
    <xf numFmtId="267" fontId="27" fillId="0" borderId="0" applyFont="0" applyFill="0" applyBorder="0" applyAlignment="0" applyProtection="0">
      <alignment horizontal="right"/>
    </xf>
    <xf numFmtId="0" fontId="153" fillId="0" borderId="0" applyFill="0" applyBorder="0" applyAlignment="0" applyProtection="0"/>
    <xf numFmtId="9" fontId="15" fillId="0" borderId="8"/>
    <xf numFmtId="9" fontId="70" fillId="0" borderId="0" applyFont="0" applyFill="0" applyBorder="0" applyAlignment="0" applyProtection="0"/>
    <xf numFmtId="181" fontId="6" fillId="14" borderId="14" applyFill="0" applyBorder="0" applyAlignment="0" applyProtection="0"/>
    <xf numFmtId="306" fontId="153" fillId="0" borderId="0" applyFont="0" applyFill="0" applyBorder="0" applyAlignment="0" applyProtection="0"/>
    <xf numFmtId="280" fontId="4" fillId="0" borderId="0" applyFont="0" applyFill="0" applyBorder="0" applyAlignment="0" applyProtection="0"/>
    <xf numFmtId="235" fontId="153" fillId="0" borderId="0" applyFill="0" applyBorder="0" applyAlignment="0" applyProtection="0"/>
    <xf numFmtId="174" fontId="15" fillId="0" borderId="8"/>
    <xf numFmtId="274" fontId="6" fillId="0" borderId="0" applyFont="0" applyFill="0" applyBorder="0" applyAlignment="0"/>
    <xf numFmtId="233" fontId="4" fillId="0" borderId="0" applyFont="0" applyFill="0" applyBorder="0" applyAlignment="0" applyProtection="0"/>
    <xf numFmtId="225" fontId="6" fillId="0" borderId="0" applyFont="0" applyFill="0" applyBorder="0" applyAlignment="0"/>
    <xf numFmtId="10" fontId="15" fillId="0" borderId="8"/>
    <xf numFmtId="0" fontId="6" fillId="0" borderId="0" applyFont="0" applyFill="0" applyBorder="0" applyAlignment="0"/>
    <xf numFmtId="197" fontId="153" fillId="0" borderId="0" applyFill="0" applyBorder="0" applyAlignment="0" applyProtection="0"/>
    <xf numFmtId="199" fontId="153" fillId="16" borderId="0" applyFont="0" applyFill="0" applyBorder="0" applyAlignment="0" applyProtection="0"/>
    <xf numFmtId="221" fontId="6" fillId="3" borderId="0" applyFont="0" applyFill="0" applyBorder="0" applyAlignment="0" applyProtection="0"/>
    <xf numFmtId="9" fontId="35" fillId="0" borderId="0"/>
    <xf numFmtId="10" fontId="35" fillId="0" borderId="0"/>
    <xf numFmtId="170" fontId="6" fillId="0" borderId="0" applyFont="0" applyFill="0" applyBorder="0" applyProtection="0">
      <alignment horizontal="right"/>
    </xf>
    <xf numFmtId="312" fontId="4" fillId="49" borderId="0">
      <alignment horizontal="right"/>
    </xf>
    <xf numFmtId="216" fontId="4" fillId="0" borderId="0" applyFont="0" applyFill="0" applyBorder="0" applyProtection="0">
      <alignment horizontal="right"/>
    </xf>
    <xf numFmtId="320" fontId="4" fillId="0" borderId="0" applyFill="0" applyBorder="0" applyAlignment="0" applyProtection="0"/>
    <xf numFmtId="174" fontId="153" fillId="0" borderId="0" applyFill="0" applyBorder="0" applyProtection="0">
      <alignment horizontal="right"/>
    </xf>
    <xf numFmtId="174" fontId="84" fillId="0" borderId="0" applyFill="0" applyBorder="0" applyProtection="0">
      <alignment horizontal="right"/>
    </xf>
    <xf numFmtId="233" fontId="4" fillId="0" borderId="0" applyFont="0" applyFill="0" applyBorder="0" applyAlignment="0" applyProtection="0"/>
    <xf numFmtId="304" fontId="108" fillId="0" borderId="0">
      <alignment horizontal="right"/>
    </xf>
    <xf numFmtId="174" fontId="106" fillId="0" borderId="0"/>
    <xf numFmtId="307" fontId="6" fillId="0" borderId="0"/>
    <xf numFmtId="10" fontId="106" fillId="0" borderId="0">
      <protection locked="0"/>
    </xf>
    <xf numFmtId="254" fontId="27" fillId="0" borderId="0" applyFont="0" applyFill="0" applyBorder="0">
      <alignment horizontal="right"/>
    </xf>
    <xf numFmtId="0" fontId="38" fillId="0" borderId="0" applyFill="0" applyBorder="0">
      <alignment horizontal="right"/>
      <protection locked="0"/>
    </xf>
    <xf numFmtId="167" fontId="6" fillId="0" borderId="0" applyFont="0" applyFill="0" applyBorder="0" applyAlignment="0"/>
    <xf numFmtId="0" fontId="32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11" fontId="84" fillId="3" borderId="20">
      <alignment horizontal="right"/>
    </xf>
    <xf numFmtId="0" fontId="4" fillId="0" borderId="0">
      <alignment horizontal="right"/>
    </xf>
    <xf numFmtId="0" fontId="56" fillId="0" borderId="0" applyFont="0">
      <alignment horizontal="centerContinuous"/>
    </xf>
    <xf numFmtId="225" fontId="178" fillId="0" borderId="0" applyFill="0" applyBorder="0" applyProtection="0"/>
    <xf numFmtId="8" fontId="32" fillId="0" borderId="0" applyFont="0" applyFill="0" applyBorder="0" applyAlignment="0" applyProtection="0"/>
    <xf numFmtId="174" fontId="179" fillId="0" borderId="0">
      <alignment horizontal="right"/>
    </xf>
    <xf numFmtId="1" fontId="38" fillId="0" borderId="0"/>
    <xf numFmtId="0" fontId="32" fillId="0" borderId="0" applyFont="0" applyFill="0" applyBorder="0" applyAlignment="0" applyProtection="0">
      <protection locked="0"/>
    </xf>
    <xf numFmtId="202" fontId="119" fillId="0" borderId="0">
      <protection locked="0"/>
    </xf>
    <xf numFmtId="9" fontId="6" fillId="0" borderId="0" applyFont="0" applyFill="0" applyBorder="0" applyAlignment="0" applyProtection="0"/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308" fontId="6" fillId="0" borderId="0" applyFont="0" applyFill="0" applyBorder="0" applyAlignment="0" applyProtection="0"/>
    <xf numFmtId="0" fontId="4" fillId="0" borderId="8"/>
    <xf numFmtId="10" fontId="37" fillId="0" borderId="0"/>
    <xf numFmtId="9" fontId="37" fillId="0" borderId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221" fontId="32" fillId="0" borderId="0" applyFill="0" applyBorder="0" applyAlignment="0" applyProtection="0"/>
    <xf numFmtId="38" fontId="32" fillId="0" borderId="0" applyFont="0" applyFill="0" applyBorder="0" applyAlignment="0" applyProtection="0"/>
    <xf numFmtId="0" fontId="181" fillId="0" borderId="21">
      <alignment horizontal="right"/>
    </xf>
    <xf numFmtId="0" fontId="24" fillId="13" borderId="17" applyNumberFormat="0" applyFont="0" applyAlignment="0" applyProtection="0"/>
    <xf numFmtId="309" fontId="6" fillId="13" borderId="0" applyNumberFormat="0" applyFont="0" applyBorder="0" applyAlignment="0" applyProtection="0">
      <alignment horizontal="center"/>
      <protection locked="0"/>
    </xf>
    <xf numFmtId="196" fontId="14" fillId="0" borderId="0"/>
    <xf numFmtId="264" fontId="24" fillId="0" borderId="0" applyFill="0" applyBorder="0" applyProtection="0">
      <alignment horizontal="right"/>
    </xf>
    <xf numFmtId="0" fontId="160" fillId="0" borderId="3">
      <alignment horizontal="centerContinuous"/>
    </xf>
    <xf numFmtId="0" fontId="182" fillId="0" borderId="11"/>
    <xf numFmtId="178" fontId="183" fillId="0" borderId="0">
      <alignment horizontal="right"/>
    </xf>
    <xf numFmtId="0" fontId="184" fillId="0" borderId="0" applyProtection="0"/>
    <xf numFmtId="10" fontId="31" fillId="0" borderId="17"/>
    <xf numFmtId="274" fontId="117" fillId="0" borderId="0"/>
    <xf numFmtId="310" fontId="6" fillId="0" borderId="0" applyFont="0" applyFill="0" applyBorder="0" applyProtection="0">
      <alignment horizontal="right"/>
    </xf>
    <xf numFmtId="286" fontId="6" fillId="0" borderId="0" applyFont="0" applyFill="0" applyBorder="0" applyProtection="0">
      <alignment horizontal="right"/>
    </xf>
    <xf numFmtId="0" fontId="6" fillId="0" borderId="0" applyFont="0" applyFill="0" applyBorder="0" applyProtection="0">
      <alignment horizontal="right"/>
    </xf>
    <xf numFmtId="190" fontId="4" fillId="0" borderId="0">
      <alignment horizontal="right"/>
      <protection locked="0"/>
    </xf>
    <xf numFmtId="256" fontId="6" fillId="0" borderId="0" applyFill="0" applyBorder="0" applyAlignment="0" applyProtection="0"/>
    <xf numFmtId="180" fontId="4" fillId="0" borderId="53" applyNumberFormat="0" applyFont="0" applyFill="0" applyAlignment="0" applyProtection="0"/>
    <xf numFmtId="221" fontId="185" fillId="0" borderId="0" applyNumberFormat="0" applyFill="0" applyBorder="0" applyAlignment="0" applyProtection="0">
      <alignment horizontal="left"/>
    </xf>
    <xf numFmtId="0" fontId="186" fillId="0" borderId="0" applyNumberFormat="0" applyFill="0" applyBorder="0" applyProtection="0">
      <protection locked="0"/>
    </xf>
    <xf numFmtId="221" fontId="68" fillId="0" borderId="0" applyFont="0" applyFill="0" applyBorder="0" applyAlignment="0" applyProtection="0"/>
    <xf numFmtId="0" fontId="4" fillId="0" borderId="0">
      <alignment horizontal="right"/>
    </xf>
    <xf numFmtId="216" fontId="4" fillId="0" borderId="0" applyProtection="0">
      <alignment horizontal="right"/>
    </xf>
    <xf numFmtId="233" fontId="6" fillId="0" borderId="0" applyProtection="0">
      <alignment horizontal="right"/>
    </xf>
    <xf numFmtId="178" fontId="4" fillId="0" borderId="0" applyProtection="0">
      <alignment horizontal="right"/>
    </xf>
    <xf numFmtId="237" fontId="4" fillId="0" borderId="0" applyProtection="0">
      <alignment horizontal="right"/>
    </xf>
    <xf numFmtId="238" fontId="4" fillId="0" borderId="0" applyProtection="0">
      <alignment horizontal="right"/>
    </xf>
    <xf numFmtId="239" fontId="4" fillId="0" borderId="0" applyProtection="0">
      <alignment horizontal="right"/>
    </xf>
    <xf numFmtId="240" fontId="4" fillId="0" borderId="0" applyProtection="0">
      <alignment horizontal="right"/>
    </xf>
    <xf numFmtId="191" fontId="4" fillId="0" borderId="0" applyProtection="0">
      <alignment horizontal="right"/>
    </xf>
    <xf numFmtId="200" fontId="4" fillId="0" borderId="0" applyProtection="0">
      <alignment horizontal="right"/>
    </xf>
    <xf numFmtId="0" fontId="187" fillId="0" borderId="0" applyNumberFormat="0" applyFill="0" applyBorder="0" applyProtection="0">
      <alignment horizontal="right" vertical="center"/>
    </xf>
    <xf numFmtId="268" fontId="4" fillId="0" borderId="0" applyProtection="0"/>
    <xf numFmtId="0" fontId="99" fillId="38" borderId="44" applyNumberFormat="0" applyBorder="0" applyProtection="0">
      <alignment horizontal="left" wrapText="1"/>
    </xf>
    <xf numFmtId="0" fontId="24" fillId="0" borderId="0" applyNumberFormat="0" applyFill="0" applyBorder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0" fontId="189" fillId="0" borderId="0" applyNumberFormat="0" applyBorder="0"/>
    <xf numFmtId="311" fontId="6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45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35" fillId="0" borderId="0">
      <alignment horizontal="center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78" fontId="31" fillId="0" borderId="8">
      <alignment horizontal="right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166" fontId="74" fillId="0" borderId="0"/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6" fillId="0" borderId="54">
      <alignment vertical="center"/>
    </xf>
    <xf numFmtId="266" fontId="4" fillId="13" borderId="44" applyFont="0" applyFill="0" applyBorder="0" applyAlignment="0" applyProtection="0">
      <alignment horizontal="center"/>
    </xf>
    <xf numFmtId="4" fontId="190" fillId="24" borderId="55" applyNumberFormat="0" applyProtection="0">
      <alignment vertical="center"/>
    </xf>
    <xf numFmtId="4" fontId="191" fillId="2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4" fillId="2" borderId="55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196" fillId="51" borderId="55" applyNumberFormat="0" applyProtection="0">
      <alignment horizontal="left" vertical="center" indent="1"/>
    </xf>
    <xf numFmtId="4" fontId="196" fillId="52" borderId="55" applyNumberFormat="0" applyProtection="0">
      <alignment horizontal="left" vertical="center" indent="1"/>
    </xf>
    <xf numFmtId="4" fontId="197" fillId="50" borderId="55" applyNumberFormat="0" applyProtection="0">
      <alignment horizontal="left" vertical="center" indent="1"/>
    </xf>
    <xf numFmtId="4" fontId="198" fillId="4" borderId="55" applyNumberFormat="0" applyProtection="0">
      <alignment vertical="center"/>
    </xf>
    <xf numFmtId="4" fontId="199" fillId="14" borderId="55" applyNumberFormat="0" applyProtection="0">
      <alignment horizontal="left" vertical="center" indent="1"/>
    </xf>
    <xf numFmtId="4" fontId="200" fillId="0" borderId="0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201" fillId="14" borderId="55" applyNumberFormat="0" applyProtection="0">
      <alignment vertical="center"/>
    </xf>
    <xf numFmtId="4" fontId="202" fillId="14" borderId="55" applyNumberFormat="0" applyProtection="0">
      <alignment vertical="center"/>
    </xf>
    <xf numFmtId="4" fontId="203" fillId="33" borderId="55" applyNumberFormat="0" applyProtection="0">
      <alignment vertical="center"/>
    </xf>
    <xf numFmtId="4" fontId="204" fillId="33" borderId="55" applyNumberFormat="0" applyProtection="0">
      <alignment vertical="center"/>
    </xf>
    <xf numFmtId="4" fontId="203" fillId="45" borderId="55" applyNumberFormat="0" applyProtection="0">
      <alignment vertical="center"/>
    </xf>
    <xf numFmtId="4" fontId="204" fillId="45" borderId="55" applyNumberFormat="0" applyProtection="0">
      <alignment vertical="center"/>
    </xf>
    <xf numFmtId="4" fontId="196" fillId="43" borderId="55" applyNumberFormat="0" applyProtection="0">
      <alignment horizontal="left" vertical="center" indent="1"/>
    </xf>
    <xf numFmtId="4" fontId="205" fillId="14" borderId="55" applyNumberFormat="0" applyProtection="0">
      <alignment vertical="center"/>
    </xf>
    <xf numFmtId="4" fontId="206" fillId="14" borderId="55" applyNumberFormat="0" applyProtection="0">
      <alignment vertical="center"/>
    </xf>
    <xf numFmtId="4" fontId="207" fillId="33" borderId="55" applyNumberFormat="0" applyProtection="0">
      <alignment vertical="center"/>
    </xf>
    <xf numFmtId="4" fontId="208" fillId="33" borderId="55" applyNumberFormat="0" applyProtection="0">
      <alignment vertical="center"/>
    </xf>
    <xf numFmtId="4" fontId="207" fillId="45" borderId="55" applyNumberFormat="0" applyProtection="0">
      <alignment vertical="center"/>
    </xf>
    <xf numFmtId="4" fontId="208" fillId="45" borderId="55" applyNumberFormat="0" applyProtection="0">
      <alignment vertical="center"/>
    </xf>
    <xf numFmtId="4" fontId="190" fillId="53" borderId="56" applyNumberFormat="0" applyProtection="0">
      <alignment horizontal="left" vertical="center" indent="1"/>
    </xf>
    <xf numFmtId="4" fontId="209" fillId="14" borderId="55" applyNumberFormat="0" applyProtection="0">
      <alignment vertical="center"/>
    </xf>
    <xf numFmtId="4" fontId="210" fillId="14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6" fillId="3" borderId="55" applyNumberFormat="0" applyProtection="0">
      <alignment horizontal="left" vertical="center" indent="1"/>
    </xf>
    <xf numFmtId="4" fontId="211" fillId="54" borderId="55" applyNumberFormat="0" applyProtection="0">
      <alignment horizontal="left" indent="1"/>
    </xf>
    <xf numFmtId="4" fontId="212" fillId="14" borderId="55" applyNumberFormat="0" applyProtection="0">
      <alignment vertical="center"/>
    </xf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38" fillId="0" borderId="0" applyFill="0" applyBorder="0">
      <alignment horizontal="right"/>
      <protection hidden="1"/>
    </xf>
    <xf numFmtId="166" fontId="213" fillId="0" borderId="0">
      <protection locked="0"/>
    </xf>
    <xf numFmtId="0" fontId="15" fillId="0" borderId="0" applyFill="0" applyBorder="0" applyProtection="0">
      <alignment horizontal="left"/>
    </xf>
    <xf numFmtId="166" fontId="214" fillId="0" borderId="0">
      <alignment horizontal="left"/>
    </xf>
    <xf numFmtId="0" fontId="215" fillId="0" borderId="0" applyNumberFormat="0" applyFill="0" applyBorder="0" applyProtection="0">
      <alignment horizontal="left" vertical="center"/>
    </xf>
    <xf numFmtId="0" fontId="216" fillId="0" borderId="57"/>
    <xf numFmtId="0" fontId="6" fillId="40" borderId="17">
      <alignment horizontal="center" vertical="center" wrapText="1"/>
      <protection hidden="1"/>
    </xf>
    <xf numFmtId="262" fontId="6" fillId="0" borderId="0" applyFont="0" applyFill="0" applyBorder="0" applyAlignment="0" applyProtection="0"/>
    <xf numFmtId="282" fontId="6" fillId="0" borderId="0" applyFont="0" applyFill="0" applyBorder="0" applyAlignment="0" applyProtection="0"/>
    <xf numFmtId="166" fontId="217" fillId="0" borderId="0"/>
    <xf numFmtId="37" fontId="217" fillId="0" borderId="0"/>
    <xf numFmtId="0" fontId="35" fillId="49" borderId="0" applyNumberFormat="0" applyFont="0" applyBorder="0" applyAlignment="0" applyProtection="0"/>
    <xf numFmtId="0" fontId="152" fillId="48" borderId="0" applyNumberFormat="0" applyFont="0" applyBorder="0" applyAlignment="0" applyProtection="0"/>
    <xf numFmtId="0" fontId="32" fillId="0" borderId="0" applyFont="0" applyFill="0" applyBorder="0" applyAlignment="0" applyProtection="0"/>
    <xf numFmtId="183" fontId="4" fillId="0" borderId="0">
      <alignment horizontal="center"/>
    </xf>
    <xf numFmtId="14" fontId="44" fillId="16" borderId="0" applyBorder="0" applyAlignment="0" applyProtection="0"/>
    <xf numFmtId="312" fontId="6" fillId="16" borderId="0" applyBorder="0" applyAlignment="0" applyProtection="0"/>
    <xf numFmtId="313" fontId="6" fillId="0" borderId="0">
      <alignment horizontal="center"/>
    </xf>
    <xf numFmtId="42" fontId="218" fillId="0" borderId="0" applyFill="0" applyBorder="0" applyAlignment="0" applyProtection="0"/>
    <xf numFmtId="0" fontId="55" fillId="0" borderId="11" applyNumberFormat="0" applyFill="0" applyAlignment="0" applyProtection="0"/>
    <xf numFmtId="8" fontId="219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220" fillId="0" borderId="0" applyNumberFormat="0">
      <alignment horizontal="left"/>
    </xf>
    <xf numFmtId="193" fontId="35" fillId="0" borderId="0" applyFont="0" applyFill="0" applyBorder="0" applyAlignment="0" applyProtection="0"/>
    <xf numFmtId="166" fontId="221" fillId="0" borderId="0">
      <alignment horizontal="left"/>
    </xf>
    <xf numFmtId="0" fontId="161" fillId="0" borderId="0" applyFont="0">
      <alignment horizontal="centerContinuous"/>
    </xf>
    <xf numFmtId="178" fontId="182" fillId="0" borderId="58">
      <alignment horizontal="right"/>
    </xf>
    <xf numFmtId="242" fontId="38" fillId="0" borderId="8"/>
    <xf numFmtId="178" fontId="38" fillId="0" borderId="8"/>
    <xf numFmtId="43" fontId="38" fillId="0" borderId="8"/>
    <xf numFmtId="0" fontId="222" fillId="0" borderId="30"/>
    <xf numFmtId="0" fontId="35" fillId="0" borderId="0">
      <alignment horizontal="center"/>
    </xf>
    <xf numFmtId="259" fontId="4" fillId="24" borderId="0"/>
    <xf numFmtId="259" fontId="4" fillId="0" borderId="0">
      <protection locked="0"/>
    </xf>
    <xf numFmtId="173" fontId="6" fillId="35" borderId="0" applyNumberFormat="0" applyBorder="0" applyAlignment="0" applyProtection="0"/>
    <xf numFmtId="0" fontId="6" fillId="0" borderId="0"/>
    <xf numFmtId="180" fontId="60" fillId="0" borderId="0" applyFill="0" applyBorder="0" applyProtection="0"/>
    <xf numFmtId="12" fontId="6" fillId="0" borderId="0" applyFont="0" applyFill="0" applyBorder="0" applyProtection="0">
      <alignment horizontal="right"/>
    </xf>
    <xf numFmtId="287" fontId="6" fillId="55" borderId="0" applyFont="0" applyFill="0" applyBorder="0" applyProtection="0">
      <alignment horizontal="right"/>
    </xf>
    <xf numFmtId="221" fontId="4" fillId="32" borderId="0" applyNumberFormat="0" applyFont="0" applyBorder="0" applyAlignment="0">
      <protection hidden="1"/>
    </xf>
    <xf numFmtId="0" fontId="2" fillId="0" borderId="8">
      <alignment horizontal="right"/>
    </xf>
    <xf numFmtId="0" fontId="42" fillId="0" borderId="0"/>
    <xf numFmtId="0" fontId="45" fillId="0" borderId="0">
      <alignment vertical="center"/>
    </xf>
    <xf numFmtId="0" fontId="61" fillId="0" borderId="0"/>
    <xf numFmtId="0" fontId="60" fillId="0" borderId="0">
      <alignment vertical="top"/>
    </xf>
    <xf numFmtId="0" fontId="223" fillId="0" borderId="0" applyNumberFormat="0" applyFill="0" applyBorder="0" applyProtection="0">
      <alignment horizontal="left" vertical="center"/>
    </xf>
    <xf numFmtId="275" fontId="224" fillId="0" borderId="52" applyBorder="0"/>
    <xf numFmtId="311" fontId="6" fillId="0" borderId="0"/>
    <xf numFmtId="0" fontId="225" fillId="0" borderId="0"/>
    <xf numFmtId="0" fontId="189" fillId="0" borderId="0"/>
    <xf numFmtId="0" fontId="226" fillId="0" borderId="0"/>
    <xf numFmtId="275" fontId="15" fillId="0" borderId="0"/>
    <xf numFmtId="0" fontId="24" fillId="0" borderId="0"/>
    <xf numFmtId="277" fontId="4" fillId="0" borderId="0" applyNumberFormat="0" applyFill="0" applyBorder="0" applyProtection="0">
      <alignment horizontal="centerContinuous"/>
    </xf>
    <xf numFmtId="3" fontId="227" fillId="0" borderId="0"/>
    <xf numFmtId="3" fontId="228" fillId="0" borderId="0"/>
    <xf numFmtId="3" fontId="50" fillId="0" borderId="8"/>
    <xf numFmtId="242" fontId="2" fillId="0" borderId="18"/>
    <xf numFmtId="0" fontId="223" fillId="0" borderId="2" applyNumberFormat="0" applyFill="0" applyProtection="0">
      <alignment horizontal="left" vertical="center"/>
    </xf>
    <xf numFmtId="0" fontId="24" fillId="13" borderId="0" applyNumberFormat="0" applyFont="0" applyBorder="0" applyAlignment="0" applyProtection="0"/>
    <xf numFmtId="310" fontId="6" fillId="0" borderId="58">
      <protection locked="0"/>
    </xf>
    <xf numFmtId="221" fontId="4" fillId="0" borderId="0" applyFill="0" applyBorder="0" applyProtection="0"/>
    <xf numFmtId="244" fontId="4" fillId="32" borderId="17">
      <alignment horizontal="center"/>
    </xf>
    <xf numFmtId="244" fontId="4" fillId="0" borderId="0">
      <alignment horizontal="center"/>
    </xf>
    <xf numFmtId="0" fontId="59" fillId="0" borderId="11">
      <alignment horizontal="center"/>
    </xf>
    <xf numFmtId="0" fontId="31" fillId="0" borderId="0"/>
    <xf numFmtId="0" fontId="229" fillId="1" borderId="58" applyNumberFormat="0" applyBorder="0" applyAlignment="0"/>
    <xf numFmtId="0" fontId="128" fillId="0" borderId="0"/>
    <xf numFmtId="0" fontId="59" fillId="0" borderId="11">
      <alignment horizontal="centerContinuous"/>
    </xf>
    <xf numFmtId="0" fontId="59" fillId="0" borderId="30">
      <alignment horizontal="centerContinuous"/>
    </xf>
    <xf numFmtId="0" fontId="59" fillId="0" borderId="30">
      <alignment horizontal="centerContinuous"/>
    </xf>
    <xf numFmtId="9" fontId="59" fillId="0" borderId="0">
      <alignment horizontal="centerContinuous"/>
    </xf>
    <xf numFmtId="0" fontId="32" fillId="0" borderId="0"/>
    <xf numFmtId="0" fontId="41" fillId="0" borderId="0" applyFill="0" applyBorder="0" applyProtection="0">
      <alignment horizontal="center" vertical="center"/>
    </xf>
    <xf numFmtId="3" fontId="230" fillId="0" borderId="0" applyFont="0" applyBorder="0" applyAlignment="0"/>
    <xf numFmtId="0" fontId="6" fillId="0" borderId="0" applyBorder="0" applyProtection="0">
      <alignment vertical="center"/>
    </xf>
    <xf numFmtId="0" fontId="6" fillId="0" borderId="11" applyBorder="0" applyProtection="0">
      <alignment horizontal="right" vertical="center"/>
    </xf>
    <xf numFmtId="0" fontId="6" fillId="56" borderId="0" applyBorder="0" applyProtection="0">
      <alignment horizontal="centerContinuous" vertical="center"/>
    </xf>
    <xf numFmtId="0" fontId="6" fillId="34" borderId="11" applyBorder="0" applyProtection="0">
      <alignment horizontal="centerContinuous" vertical="center"/>
    </xf>
    <xf numFmtId="0" fontId="231" fillId="0" borderId="0" applyFill="0" applyBorder="0" applyProtection="0">
      <alignment horizontal="center" vertical="center"/>
    </xf>
    <xf numFmtId="0" fontId="24" fillId="0" borderId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232" fillId="0" borderId="0" applyFill="0" applyBorder="0" applyProtection="0"/>
    <xf numFmtId="0" fontId="233" fillId="0" borderId="0" applyNumberFormat="0">
      <alignment horizontal="left"/>
    </xf>
    <xf numFmtId="0" fontId="6" fillId="0" borderId="0"/>
    <xf numFmtId="0" fontId="6" fillId="0" borderId="0" applyFill="0" applyBorder="0" applyProtection="0">
      <alignment horizontal="left"/>
    </xf>
    <xf numFmtId="0" fontId="131" fillId="0" borderId="13" applyFill="0" applyBorder="0" applyProtection="0">
      <alignment horizontal="left" vertical="top"/>
    </xf>
    <xf numFmtId="0" fontId="99" fillId="0" borderId="0">
      <alignment horizontal="centerContinuous"/>
    </xf>
    <xf numFmtId="0" fontId="72" fillId="14" borderId="8" applyNumberFormat="0" applyFont="0" applyFill="0" applyAlignment="0" applyProtection="0">
      <protection locked="0"/>
    </xf>
    <xf numFmtId="0" fontId="234" fillId="0" borderId="0" applyFill="0" applyBorder="0" applyProtection="0">
      <alignment horizontal="center" vertical="center"/>
    </xf>
    <xf numFmtId="0" fontId="32" fillId="0" borderId="0"/>
    <xf numFmtId="0" fontId="72" fillId="14" borderId="59" applyNumberFormat="0" applyFont="0" applyFill="0" applyAlignment="0" applyProtection="0">
      <protection locked="0"/>
    </xf>
    <xf numFmtId="38" fontId="235" fillId="0" borderId="0" applyNumberFormat="0" applyBorder="0">
      <alignment horizontal="left"/>
    </xf>
    <xf numFmtId="0" fontId="236" fillId="0" borderId="0" applyFill="0" applyBorder="0" applyProtection="0">
      <alignment vertical="top"/>
    </xf>
    <xf numFmtId="0" fontId="237" fillId="0" borderId="0" applyFill="0" applyBorder="0" applyProtection="0">
      <alignment vertical="center"/>
    </xf>
    <xf numFmtId="0" fontId="59" fillId="0" borderId="0" applyFill="0" applyBorder="0" applyProtection="0"/>
    <xf numFmtId="0" fontId="238" fillId="0" borderId="0">
      <alignment horizontal="centerContinuous"/>
    </xf>
    <xf numFmtId="1" fontId="6" fillId="0" borderId="0"/>
    <xf numFmtId="0" fontId="4" fillId="0" borderId="0"/>
    <xf numFmtId="221" fontId="6" fillId="57" borderId="0" applyNumberFormat="0" applyFont="0" applyBorder="0" applyAlignment="0" applyProtection="0"/>
    <xf numFmtId="0" fontId="6" fillId="0" borderId="0" applyBorder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13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6" fillId="0" borderId="0"/>
    <xf numFmtId="0" fontId="239" fillId="0" borderId="0" applyNumberFormat="0" applyFill="0" applyBorder="0" applyProtection="0"/>
    <xf numFmtId="0" fontId="240" fillId="0" borderId="0" applyFill="0" applyBorder="0" applyProtection="0"/>
    <xf numFmtId="0" fontId="6" fillId="0" borderId="0"/>
    <xf numFmtId="0" fontId="240" fillId="0" borderId="0" applyNumberFormat="0" applyFill="0" applyBorder="0" applyProtection="0"/>
    <xf numFmtId="0" fontId="239" fillId="0" borderId="0" applyNumberFormat="0" applyFill="0" applyBorder="0" applyProtection="0"/>
    <xf numFmtId="0" fontId="239" fillId="0" borderId="0"/>
    <xf numFmtId="49" fontId="14" fillId="0" borderId="0" applyFill="0" applyBorder="0" applyAlignment="0"/>
    <xf numFmtId="302" fontId="4" fillId="0" borderId="0" applyFill="0" applyBorder="0" applyAlignment="0"/>
    <xf numFmtId="202" fontId="4" fillId="0" borderId="0" applyFill="0" applyBorder="0" applyAlignment="0"/>
    <xf numFmtId="0" fontId="34" fillId="0" borderId="0" applyNumberFormat="0" applyFont="0" applyFill="0" applyBorder="0" applyProtection="0">
      <alignment horizontal="left" vertical="top" wrapText="1"/>
    </xf>
    <xf numFmtId="0" fontId="24" fillId="0" borderId="0" applyNumberFormat="0" applyFill="0" applyBorder="0" applyAlignment="0" applyProtection="0"/>
    <xf numFmtId="305" fontId="6" fillId="0" borderId="0" applyFill="0" applyBorder="0" applyAlignment="0" applyProtection="0">
      <alignment horizontal="right"/>
    </xf>
    <xf numFmtId="300" fontId="6" fillId="0" borderId="0" applyFont="0" applyFill="0" applyBorder="0" applyAlignment="0" applyProtection="0"/>
    <xf numFmtId="202" fontId="4" fillId="0" borderId="0" applyBorder="0" applyProtection="0">
      <alignment horizontal="right"/>
    </xf>
    <xf numFmtId="0" fontId="241" fillId="32" borderId="17" applyProtection="0">
      <alignment horizontal="center"/>
      <protection locked="0"/>
    </xf>
    <xf numFmtId="20" fontId="6" fillId="0" borderId="0" applyFont="0" applyFill="0" applyBorder="0" applyAlignment="0" applyProtection="0"/>
    <xf numFmtId="1" fontId="68" fillId="0" borderId="2" applyFill="0" applyBorder="0" applyProtection="0">
      <alignment horizontal="right"/>
    </xf>
    <xf numFmtId="18" fontId="72" fillId="14" borderId="0" applyFont="0" applyFill="0" applyBorder="0" applyAlignment="0" applyProtection="0">
      <protection locked="0"/>
    </xf>
    <xf numFmtId="307" fontId="6" fillId="0" borderId="0"/>
    <xf numFmtId="183" fontId="4" fillId="0" borderId="0" applyFont="0" applyFill="0" applyBorder="0" applyAlignment="0" applyProtection="0"/>
    <xf numFmtId="251" fontId="4" fillId="0" borderId="8"/>
    <xf numFmtId="251" fontId="4" fillId="0" borderId="0"/>
    <xf numFmtId="184" fontId="4" fillId="0" borderId="0" applyFont="0" applyFill="0" applyBorder="0" applyAlignment="0" applyProtection="0"/>
    <xf numFmtId="250" fontId="4" fillId="0" borderId="8"/>
    <xf numFmtId="250" fontId="4" fillId="0" borderId="0"/>
    <xf numFmtId="224" fontId="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40" fontId="94" fillId="0" borderId="0"/>
    <xf numFmtId="272" fontId="6" fillId="0" borderId="0" applyFont="0" applyFill="0" applyBorder="0" applyAlignment="0" applyProtection="0"/>
    <xf numFmtId="0" fontId="242" fillId="0" borderId="0"/>
    <xf numFmtId="0" fontId="99" fillId="38" borderId="23" applyNumberFormat="0" applyBorder="0" applyProtection="0">
      <alignment horizontal="left" vertical="center"/>
    </xf>
    <xf numFmtId="0" fontId="68" fillId="0" borderId="0" applyFill="0" applyBorder="0" applyProtection="0"/>
    <xf numFmtId="0" fontId="243" fillId="12" borderId="0" applyNumberFormat="0" applyBorder="0" applyAlignment="0">
      <alignment vertical="center"/>
    </xf>
    <xf numFmtId="0" fontId="243" fillId="58" borderId="0" applyNumberFormat="0" applyBorder="0">
      <alignment vertical="center"/>
    </xf>
    <xf numFmtId="0" fontId="181" fillId="0" borderId="0" applyNumberFormat="0" applyFill="0" applyBorder="0" applyAlignment="0" applyProtection="0"/>
    <xf numFmtId="291" fontId="69" fillId="0" borderId="0" applyFill="0" applyBorder="0" applyAlignment="0" applyProtection="0"/>
    <xf numFmtId="251" fontId="244" fillId="34" borderId="0" applyBorder="0" applyAlignment="0" applyProtection="0">
      <alignment horizontal="left"/>
    </xf>
    <xf numFmtId="0" fontId="245" fillId="0" borderId="11" applyProtection="0"/>
    <xf numFmtId="1" fontId="35" fillId="59" borderId="0" applyNumberFormat="0" applyFont="0" applyBorder="0" applyProtection="0">
      <alignment horizontal="left"/>
    </xf>
    <xf numFmtId="0" fontId="2" fillId="0" borderId="0"/>
    <xf numFmtId="0" fontId="246" fillId="0" borderId="0" applyNumberFormat="0" applyFont="0" applyFill="0" applyBorder="0" applyAlignment="0">
      <alignment horizontal="left" vertical="center"/>
    </xf>
    <xf numFmtId="0" fontId="179" fillId="0" borderId="0" applyFill="0" applyBorder="0" applyAlignment="0" applyProtection="0"/>
    <xf numFmtId="221" fontId="4" fillId="0" borderId="0" applyFont="0" applyFill="0" applyBorder="0">
      <alignment horizontal="left"/>
    </xf>
    <xf numFmtId="166" fontId="6" fillId="0" borderId="8" applyNumberFormat="0" applyFont="0" applyFill="0" applyAlignment="0"/>
    <xf numFmtId="311" fontId="6" fillId="0" borderId="60" applyAlignment="0">
      <alignment horizontal="right"/>
    </xf>
    <xf numFmtId="221" fontId="102" fillId="0" borderId="60" applyAlignment="0"/>
    <xf numFmtId="314" fontId="6" fillId="0" borderId="60" applyAlignment="0"/>
    <xf numFmtId="0" fontId="102" fillId="0" borderId="60" applyAlignment="0">
      <alignment horizontal="right"/>
    </xf>
    <xf numFmtId="301" fontId="6" fillId="0" borderId="0" applyFont="0" applyFill="0" applyBorder="0" applyAlignment="0" applyProtection="0"/>
    <xf numFmtId="242" fontId="38" fillId="0" borderId="18"/>
    <xf numFmtId="178" fontId="38" fillId="0" borderId="18"/>
    <xf numFmtId="43" fontId="38" fillId="0" borderId="18"/>
    <xf numFmtId="313" fontId="6" fillId="0" borderId="0" applyFont="0" applyFill="0" applyBorder="0" applyAlignment="0" applyProtection="0"/>
    <xf numFmtId="174" fontId="38" fillId="0" borderId="11" applyNumberFormat="0" applyFont="0" applyFill="0" applyAlignment="0" applyProtection="0"/>
    <xf numFmtId="274" fontId="247" fillId="0" borderId="0">
      <alignment horizontal="left"/>
      <protection locked="0"/>
    </xf>
    <xf numFmtId="0" fontId="45" fillId="0" borderId="0"/>
    <xf numFmtId="0" fontId="148" fillId="14" borderId="11" applyNumberFormat="0" applyFont="0" applyFill="0" applyAlignment="0" applyProtection="0"/>
    <xf numFmtId="0" fontId="35" fillId="0" borderId="8" applyProtection="0">
      <alignment vertical="top"/>
    </xf>
    <xf numFmtId="0" fontId="248" fillId="0" borderId="0"/>
    <xf numFmtId="37" fontId="4" fillId="2" borderId="0" applyNumberFormat="0" applyBorder="0" applyAlignment="0" applyProtection="0"/>
    <xf numFmtId="37" fontId="4" fillId="0" borderId="0"/>
    <xf numFmtId="3" fontId="149" fillId="0" borderId="61" applyProtection="0"/>
    <xf numFmtId="0" fontId="249" fillId="0" borderId="0"/>
    <xf numFmtId="165" fontId="6" fillId="0" borderId="0" applyFont="0" applyFill="0" applyBorder="0" applyAlignment="0" applyProtection="0"/>
    <xf numFmtId="0" fontId="38" fillId="0" borderId="0" applyFont="0" applyFill="0" applyBorder="0" applyAlignment="0" applyProtection="0"/>
    <xf numFmtId="44" fontId="180" fillId="0" borderId="0" applyFont="0" applyFill="0" applyBorder="0" applyAlignment="0" applyProtection="0"/>
    <xf numFmtId="0" fontId="56" fillId="0" borderId="0" applyFont="0" applyAlignment="0"/>
    <xf numFmtId="309" fontId="6" fillId="0" borderId="0" applyFont="0" applyFill="0" applyBorder="0" applyAlignment="0" applyProtection="0"/>
    <xf numFmtId="41" fontId="4" fillId="0" borderId="0" applyFont="0" applyFill="0" applyBorder="0" applyAlignment="0" applyProtection="0"/>
    <xf numFmtId="221" fontId="78" fillId="0" borderId="0" applyNumberFormat="0" applyFill="0" applyBorder="0" applyAlignment="0" applyProtection="0"/>
    <xf numFmtId="1" fontId="32" fillId="0" borderId="0" applyFont="0" applyFill="0" applyBorder="0" applyAlignment="0" applyProtection="0"/>
    <xf numFmtId="0" fontId="35" fillId="38" borderId="0" applyNumberFormat="0" applyBorder="0" applyProtection="0">
      <alignment horizontal="left"/>
    </xf>
    <xf numFmtId="40" fontId="24" fillId="0" borderId="0">
      <alignment horizontal="left" wrapText="1"/>
    </xf>
    <xf numFmtId="185" fontId="6" fillId="0" borderId="0"/>
    <xf numFmtId="198" fontId="35" fillId="0" borderId="0"/>
    <xf numFmtId="265" fontId="35" fillId="0" borderId="0"/>
    <xf numFmtId="0" fontId="6" fillId="0" borderId="11" applyBorder="0" applyProtection="0">
      <alignment horizontal="right"/>
    </xf>
    <xf numFmtId="285" fontId="27" fillId="0" borderId="0" applyFont="0" applyFill="0" applyBorder="0" applyAlignment="0"/>
    <xf numFmtId="221" fontId="27" fillId="0" borderId="0" applyFont="0" applyFill="0" applyBorder="0" applyAlignment="0"/>
    <xf numFmtId="0" fontId="148" fillId="0" borderId="0">
      <alignment horizontal="right"/>
    </xf>
    <xf numFmtId="221" fontId="4" fillId="0" borderId="0"/>
    <xf numFmtId="221" fontId="149" fillId="3" borderId="0"/>
    <xf numFmtId="0" fontId="6" fillId="0" borderId="0" applyFont="0" applyFill="0" applyBorder="0" applyAlignment="0" applyProtection="0"/>
    <xf numFmtId="0" fontId="6" fillId="0" borderId="0"/>
    <xf numFmtId="166" fontId="3" fillId="3" borderId="20"/>
    <xf numFmtId="166" fontId="8" fillId="3" borderId="25"/>
    <xf numFmtId="196" fontId="6" fillId="0" borderId="0" applyFont="0" applyFill="0" applyBorder="0" applyAlignment="0" applyProtection="0"/>
    <xf numFmtId="267" fontId="6" fillId="0" borderId="0" applyFont="0" applyFill="0" applyBorder="0" applyAlignment="0" applyProtection="0"/>
    <xf numFmtId="172" fontId="253" fillId="0" borderId="0" applyFont="0" applyFill="0" applyBorder="0" applyAlignment="0" applyProtection="0"/>
    <xf numFmtId="167" fontId="253" fillId="0" borderId="0" applyFont="0" applyFill="0" applyBorder="0" applyAlignment="0" applyProtection="0"/>
    <xf numFmtId="166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166" fontId="254" fillId="35" borderId="0"/>
    <xf numFmtId="166" fontId="3" fillId="3" borderId="20"/>
    <xf numFmtId="0" fontId="6" fillId="0" borderId="0" applyFill="0" applyBorder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2" fillId="0" borderId="0">
      <alignment horizontal="center" wrapText="1"/>
      <protection locked="0"/>
    </xf>
    <xf numFmtId="0" fontId="6" fillId="0" borderId="0" applyFont="0" applyFill="0" applyBorder="0" applyAlignment="0" applyProtection="0"/>
    <xf numFmtId="166" fontId="109" fillId="31" borderId="0"/>
    <xf numFmtId="14" fontId="32" fillId="0" borderId="0">
      <alignment horizontal="center" wrapText="1"/>
      <protection locked="0"/>
    </xf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2" fillId="14" borderId="0"/>
    <xf numFmtId="0" fontId="34" fillId="0" borderId="0" applyFont="0" applyFill="0" applyBorder="0" applyAlignment="0" applyProtection="0"/>
    <xf numFmtId="0" fontId="26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8" fillId="0" borderId="0" applyNumberFormat="0" applyFill="0" applyBorder="0" applyAlignment="0" applyProtection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Protection="0">
      <alignment vertical="top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36" fillId="0" borderId="0" applyNumberFormat="0" applyFont="0" applyFill="0" applyBorder="0" applyAlignment="0" applyProtection="0"/>
    <xf numFmtId="0" fontId="267" fillId="0" borderId="0"/>
    <xf numFmtId="0" fontId="267" fillId="0" borderId="0"/>
    <xf numFmtId="0" fontId="269" fillId="0" borderId="0" applyFont="0" applyFill="0" applyBorder="0" applyAlignment="0" applyProtection="0"/>
    <xf numFmtId="0" fontId="269" fillId="0" borderId="0" applyFont="0" applyFill="0" applyBorder="0" applyAlignment="0" applyProtection="0"/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0" fontId="8" fillId="3" borderId="25"/>
    <xf numFmtId="37" fontId="33" fillId="0" borderId="11" applyNumberFormat="0" applyFont="0" applyFill="0" applyAlignment="0" applyProtection="0"/>
    <xf numFmtId="0" fontId="60" fillId="0" borderId="0"/>
    <xf numFmtId="0" fontId="60" fillId="0" borderId="8"/>
    <xf numFmtId="0" fontId="27" fillId="0" borderId="0" applyFont="0" applyFill="0" applyBorder="0" applyAlignment="0" applyProtection="0"/>
    <xf numFmtId="0" fontId="142" fillId="0" borderId="0" applyFont="0" applyFill="0" applyBorder="0" applyAlignment="0" applyProtection="0"/>
    <xf numFmtId="0" fontId="271" fillId="0" borderId="64" applyFill="0" applyBorder="0" applyAlignment="0" applyProtection="0">
      <alignment horizontal="right"/>
    </xf>
    <xf numFmtId="0" fontId="178" fillId="0" borderId="0" applyFill="0" applyBorder="0" applyProtection="0"/>
    <xf numFmtId="0" fontId="164" fillId="0" borderId="0" applyNumberFormat="0" applyFill="0" applyBorder="0" applyAlignment="0"/>
    <xf numFmtId="16" fontId="14" fillId="0" borderId="0" applyFont="0" applyFill="0" applyBorder="0" applyAlignment="0" applyProtection="0"/>
    <xf numFmtId="15" fontId="14" fillId="0" borderId="0" applyFont="0" applyFill="0" applyBorder="0" applyAlignment="0" applyProtection="0"/>
    <xf numFmtId="17" fontId="14" fillId="0" borderId="0" applyFont="0" applyFill="0" applyBorder="0" applyAlignment="0" applyProtection="0"/>
    <xf numFmtId="0" fontId="272" fillId="0" borderId="0" applyFill="0" applyBorder="0" applyProtection="0"/>
    <xf numFmtId="14" fontId="272" fillId="0" borderId="0" applyFill="0" applyBorder="0" applyProtection="0"/>
    <xf numFmtId="14" fontId="273" fillId="0" borderId="0">
      <alignment horizontal="right"/>
      <protection locked="0"/>
    </xf>
    <xf numFmtId="0" fontId="274" fillId="0" borderId="0">
      <protection locked="0"/>
    </xf>
    <xf numFmtId="0" fontId="275" fillId="0" borderId="0"/>
    <xf numFmtId="0" fontId="4" fillId="0" borderId="0"/>
    <xf numFmtId="39" fontId="276" fillId="0" borderId="0" applyFont="0" applyFill="0" applyBorder="0" applyAlignment="0" applyProtection="0"/>
    <xf numFmtId="43" fontId="6" fillId="0" borderId="0" applyFont="0" applyFill="0" applyBorder="0" applyAlignment="0" applyProtection="0"/>
    <xf numFmtId="15" fontId="44" fillId="66" borderId="0" applyNumberFormat="0" applyFont="0" applyBorder="0" applyAlignment="0" applyProtection="0"/>
    <xf numFmtId="0" fontId="32" fillId="0" borderId="0"/>
    <xf numFmtId="0" fontId="106" fillId="0" borderId="0">
      <protection locked="0"/>
    </xf>
    <xf numFmtId="0" fontId="32" fillId="0" borderId="0"/>
    <xf numFmtId="0" fontId="35" fillId="0" borderId="0"/>
    <xf numFmtId="49" fontId="277" fillId="0" borderId="0" applyNumberFormat="0" applyFill="0" applyBorder="0" applyProtection="0">
      <alignment horizontal="center" vertical="top"/>
    </xf>
    <xf numFmtId="0" fontId="278" fillId="0" borderId="0">
      <alignment horizontal="left"/>
    </xf>
    <xf numFmtId="214" fontId="270" fillId="0" borderId="66">
      <alignment horizontal="left"/>
    </xf>
    <xf numFmtId="0" fontId="279" fillId="0" borderId="0">
      <alignment vertical="center"/>
    </xf>
    <xf numFmtId="0" fontId="279" fillId="0" borderId="0">
      <alignment horizontal="left" vertical="center"/>
    </xf>
    <xf numFmtId="0" fontId="280" fillId="0" borderId="0">
      <alignment vertical="center"/>
    </xf>
    <xf numFmtId="0" fontId="281" fillId="0" borderId="0">
      <alignment vertical="center"/>
    </xf>
    <xf numFmtId="214" fontId="270" fillId="0" borderId="66">
      <alignment horizontal="left"/>
    </xf>
    <xf numFmtId="214" fontId="277" fillId="0" borderId="0">
      <alignment horizontal="center"/>
    </xf>
    <xf numFmtId="214" fontId="282" fillId="0" borderId="66">
      <alignment horizontal="center"/>
    </xf>
    <xf numFmtId="214" fontId="5" fillId="0" borderId="0"/>
    <xf numFmtId="214" fontId="283" fillId="0" borderId="0"/>
    <xf numFmtId="214" fontId="6" fillId="0" borderId="0"/>
    <xf numFmtId="214" fontId="284" fillId="0" borderId="0">
      <alignment horizontal="left" vertical="top"/>
    </xf>
    <xf numFmtId="0" fontId="285" fillId="0" borderId="0">
      <alignment horizontal="left" vertical="top" wrapText="1"/>
    </xf>
    <xf numFmtId="0" fontId="286" fillId="0" borderId="0">
      <alignment horizontal="left" vertical="top" wrapText="1"/>
    </xf>
    <xf numFmtId="0" fontId="287" fillId="0" borderId="0">
      <alignment horizontal="left" vertical="top" wrapText="1"/>
    </xf>
    <xf numFmtId="0" fontId="274" fillId="0" borderId="0">
      <protection locked="0"/>
    </xf>
    <xf numFmtId="171" fontId="178" fillId="0" borderId="0" applyFill="0" applyBorder="0" applyProtection="0"/>
    <xf numFmtId="221" fontId="4" fillId="14" borderId="17" applyFont="0" applyBorder="0" applyAlignment="0" applyProtection="0">
      <alignment vertical="top"/>
    </xf>
    <xf numFmtId="0" fontId="288" fillId="0" borderId="67" applyFont="0" applyBorder="0"/>
    <xf numFmtId="37" fontId="289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left"/>
    </xf>
    <xf numFmtId="37" fontId="289" fillId="0" borderId="0" applyNumberFormat="0" applyFill="0" applyBorder="0" applyAlignment="0">
      <alignment horizontal="left"/>
    </xf>
    <xf numFmtId="37" fontId="291" fillId="0" borderId="0" applyNumberFormat="0" applyFill="0" applyBorder="0" applyAlignment="0">
      <alignment horizontal="left" vertical="top"/>
    </xf>
    <xf numFmtId="0" fontId="2" fillId="0" borderId="0" applyBorder="0">
      <alignment horizontal="left"/>
    </xf>
    <xf numFmtId="0" fontId="292" fillId="32" borderId="0" applyNumberFormat="0" applyFont="0" applyAlignment="0"/>
    <xf numFmtId="0" fontId="293" fillId="34" borderId="0"/>
    <xf numFmtId="0" fontId="277" fillId="0" borderId="0"/>
    <xf numFmtId="9" fontId="294" fillId="0" borderId="0" applyFont="0" applyFill="0" applyBorder="0" applyAlignment="0" applyProtection="0"/>
    <xf numFmtId="0" fontId="295" fillId="0" borderId="0">
      <alignment vertical="center"/>
    </xf>
    <xf numFmtId="0" fontId="27" fillId="0" borderId="0"/>
    <xf numFmtId="166" fontId="6" fillId="0" borderId="0" applyFont="0" applyFill="0" applyBorder="0" applyAlignment="0" applyProtection="0"/>
    <xf numFmtId="190" fontId="60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325" fontId="35" fillId="0" borderId="0" applyFont="0" applyFill="0" applyBorder="0" applyAlignment="0" applyProtection="0"/>
    <xf numFmtId="326" fontId="60" fillId="0" borderId="0" applyFont="0" applyFill="0" applyBorder="0" applyAlignment="0" applyProtection="0"/>
    <xf numFmtId="326" fontId="6" fillId="0" borderId="0" applyFont="0" applyFill="0" applyBorder="0" applyAlignment="0" applyProtection="0"/>
    <xf numFmtId="32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6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191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0" fillId="0" borderId="0" applyFont="0" applyFill="0" applyBorder="0" applyAlignment="0" applyProtection="0"/>
    <xf numFmtId="328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30" fontId="45" fillId="0" borderId="0"/>
    <xf numFmtId="330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0" fontId="45" fillId="0" borderId="0"/>
    <xf numFmtId="330" fontId="45" fillId="0" borderId="0"/>
    <xf numFmtId="0" fontId="60" fillId="0" borderId="0"/>
    <xf numFmtId="0" fontId="6" fillId="0" borderId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38" fontId="56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333" fontId="35" fillId="0" borderId="0" applyFont="0" applyFill="0" applyBorder="0" applyAlignment="0" applyProtection="0"/>
    <xf numFmtId="201" fontId="60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23" fontId="5" fillId="0" borderId="0" applyFont="0" applyFill="0" applyBorder="0" applyAlignment="0" applyProtection="0"/>
    <xf numFmtId="334" fontId="35" fillId="0" borderId="0" applyFont="0" applyFill="0" applyBorder="0" applyAlignment="0" applyProtection="0"/>
    <xf numFmtId="335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200" fontId="6" fillId="0" borderId="0" applyFont="0" applyFill="0" applyBorder="0" applyAlignment="0" applyProtection="0"/>
    <xf numFmtId="337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205" fontId="60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176" fontId="5" fillId="0" borderId="0" applyFont="0" applyFill="0" applyBorder="0" applyAlignment="0" applyProtection="0"/>
    <xf numFmtId="338" fontId="35" fillId="0" borderId="0" applyFont="0" applyFill="0" applyBorder="0" applyAlignment="0" applyProtection="0"/>
    <xf numFmtId="339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20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41" fontId="35" fillId="0" borderId="0" applyFont="0" applyFill="0" applyBorder="0" applyAlignment="0" applyProtection="0"/>
    <xf numFmtId="342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21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12" fontId="5" fillId="0" borderId="0" applyFont="0" applyFill="0" applyBorder="0" applyAlignment="0" applyProtection="0"/>
    <xf numFmtId="344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45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13" fontId="6" fillId="0" borderId="0" applyFont="0" applyFill="0" applyBorder="0" applyAlignment="0" applyProtection="0"/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28" applyNumberFormat="0" applyFill="0" applyAlignment="0" applyProtection="0"/>
    <xf numFmtId="166" fontId="50" fillId="0" borderId="75" applyNumberFormat="0" applyFill="0" applyAlignment="0" applyProtection="0"/>
    <xf numFmtId="166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6" fillId="0" borderId="30" applyNumberFormat="0" applyFont="0" applyFill="0" applyAlignment="0" applyProtection="0"/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 vertical="top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0" fillId="0" borderId="0" applyNumberFormat="0" applyFill="0" applyBorder="0" applyAlignment="0" applyProtection="0"/>
    <xf numFmtId="1" fontId="300" fillId="0" borderId="0"/>
    <xf numFmtId="0" fontId="267" fillId="0" borderId="0"/>
    <xf numFmtId="3" fontId="148" fillId="0" borderId="0"/>
    <xf numFmtId="170" fontId="45" fillId="0" borderId="0" applyBorder="0"/>
    <xf numFmtId="2" fontId="267" fillId="0" borderId="0"/>
    <xf numFmtId="39" fontId="45" fillId="0" borderId="0" applyFont="0" applyFill="0" applyBorder="0" applyAlignment="0" applyProtection="0"/>
    <xf numFmtId="0" fontId="301" fillId="81" borderId="0" applyNumberFormat="0" applyBorder="0" applyAlignment="0" applyProtection="0"/>
    <xf numFmtId="0" fontId="301" fillId="81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1" fillId="82" borderId="0" applyNumberFormat="0" applyBorder="0" applyAlignment="0" applyProtection="0"/>
    <xf numFmtId="0" fontId="301" fillId="82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1" fillId="53" borderId="0" applyNumberFormat="0" applyBorder="0" applyAlignment="0" applyProtection="0"/>
    <xf numFmtId="0" fontId="301" fillId="53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1" fillId="84" borderId="0" applyNumberFormat="0" applyBorder="0" applyAlignment="0" applyProtection="0"/>
    <xf numFmtId="0" fontId="301" fillId="84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1" fillId="29" borderId="0" applyNumberFormat="0" applyBorder="0" applyAlignment="0" applyProtection="0"/>
    <xf numFmtId="0" fontId="301" fillId="29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167" fontId="45" fillId="0" borderId="0" applyFont="0" applyFill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1" fillId="86" borderId="0" applyNumberFormat="0" applyBorder="0" applyAlignment="0" applyProtection="0"/>
    <xf numFmtId="0" fontId="301" fillId="86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1" fillId="19" borderId="0" applyNumberFormat="0" applyBorder="0" applyAlignment="0" applyProtection="0"/>
    <xf numFmtId="0" fontId="301" fillId="19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1" fillId="87" borderId="0" applyNumberFormat="0" applyBorder="0" applyAlignment="0" applyProtection="0"/>
    <xf numFmtId="0" fontId="301" fillId="87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3" fillId="88" borderId="0" applyNumberFormat="0" applyBorder="0" applyAlignment="0" applyProtection="0"/>
    <xf numFmtId="0" fontId="303" fillId="88" borderId="0" applyNumberFormat="0" applyBorder="0" applyAlignment="0" applyProtection="0"/>
    <xf numFmtId="0" fontId="303" fillId="86" borderId="0" applyNumberFormat="0" applyBorder="0" applyAlignment="0" applyProtection="0"/>
    <xf numFmtId="0" fontId="303" fillId="86" borderId="0" applyNumberFormat="0" applyBorder="0" applyAlignment="0" applyProtection="0"/>
    <xf numFmtId="0" fontId="303" fillId="19" borderId="0" applyNumberFormat="0" applyBorder="0" applyAlignment="0" applyProtection="0"/>
    <xf numFmtId="0" fontId="303" fillId="19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1" borderId="0" applyNumberFormat="0" applyBorder="0" applyAlignment="0" applyProtection="0"/>
    <xf numFmtId="0" fontId="303" fillId="91" borderId="0" applyNumberFormat="0" applyBorder="0" applyAlignment="0" applyProtection="0"/>
    <xf numFmtId="0" fontId="303" fillId="54" borderId="0" applyNumberFormat="0" applyBorder="0" applyAlignment="0" applyProtection="0"/>
    <xf numFmtId="0" fontId="303" fillId="54" borderId="0" applyNumberFormat="0" applyBorder="0" applyAlignment="0" applyProtection="0"/>
    <xf numFmtId="0" fontId="303" fillId="18" borderId="0" applyNumberFormat="0" applyBorder="0" applyAlignment="0" applyProtection="0"/>
    <xf numFmtId="0" fontId="303" fillId="18" borderId="0" applyNumberFormat="0" applyBorder="0" applyAlignment="0" applyProtection="0"/>
    <xf numFmtId="0" fontId="303" fillId="92" borderId="0" applyNumberFormat="0" applyBorder="0" applyAlignment="0" applyProtection="0"/>
    <xf numFmtId="0" fontId="303" fillId="92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3" borderId="0" applyNumberFormat="0" applyBorder="0" applyAlignment="0" applyProtection="0"/>
    <xf numFmtId="0" fontId="303" fillId="93" borderId="0" applyNumberFormat="0" applyBorder="0" applyAlignment="0" applyProtection="0"/>
    <xf numFmtId="242" fontId="6" fillId="0" borderId="0" applyFont="0" applyFill="0" applyBorder="0" applyProtection="0"/>
    <xf numFmtId="346" fontId="60" fillId="0" borderId="0" applyFont="0" applyFill="0" applyBorder="0" applyAlignment="0">
      <alignment vertical="center"/>
    </xf>
    <xf numFmtId="175" fontId="304" fillId="94" borderId="0" applyNumberFormat="0" applyFont="0" applyBorder="0" applyAlignment="0">
      <alignment horizontal="right"/>
    </xf>
    <xf numFmtId="347" fontId="88" fillId="94" borderId="2" applyFont="0">
      <alignment horizontal="right"/>
    </xf>
    <xf numFmtId="0" fontId="4" fillId="0" borderId="0" applyNumberFormat="0" applyFill="0" applyBorder="0" applyAlignment="0" applyProtection="0"/>
    <xf numFmtId="348" fontId="6" fillId="0" borderId="0"/>
    <xf numFmtId="0" fontId="6" fillId="0" borderId="0" applyNumberFormat="0" applyFont="0" applyBorder="0" applyAlignment="0"/>
    <xf numFmtId="0" fontId="305" fillId="0" borderId="32" applyNumberFormat="0" applyFill="0" applyBorder="0" applyAlignment="0" applyProtection="0"/>
    <xf numFmtId="0" fontId="24" fillId="0" borderId="32" applyNumberFormat="0" applyFill="0" applyBorder="0" applyAlignment="0" applyProtection="0"/>
    <xf numFmtId="0" fontId="153" fillId="0" borderId="32" applyNumberFormat="0" applyFill="0" applyBorder="0" applyAlignment="0" applyProtection="0"/>
    <xf numFmtId="0" fontId="306" fillId="0" borderId="0" applyNumberFormat="0" applyFill="0" applyBorder="0" applyAlignment="0" applyProtection="0"/>
    <xf numFmtId="0" fontId="307" fillId="71" borderId="0" applyBorder="0" applyProtection="0">
      <alignment vertical="center"/>
    </xf>
    <xf numFmtId="0" fontId="308" fillId="82" borderId="0" applyNumberFormat="0" applyBorder="0" applyAlignment="0" applyProtection="0"/>
    <xf numFmtId="0" fontId="308" fillId="82" borderId="0" applyNumberFormat="0" applyBorder="0" applyAlignment="0" applyProtection="0"/>
    <xf numFmtId="0" fontId="1" fillId="35" borderId="76" applyNumberFormat="0" applyAlignment="0" applyProtection="0"/>
    <xf numFmtId="349" fontId="309" fillId="35" borderId="0" applyNumberFormat="0" applyBorder="0">
      <alignment horizontal="center" vertical="center"/>
    </xf>
    <xf numFmtId="0" fontId="99" fillId="48" borderId="7" applyFill="0" applyBorder="0" applyProtection="0">
      <alignment horizontal="left"/>
    </xf>
    <xf numFmtId="0" fontId="7" fillId="35" borderId="76"/>
    <xf numFmtId="0" fontId="1" fillId="35" borderId="77">
      <alignment horizontal="center"/>
    </xf>
    <xf numFmtId="7" fontId="152" fillId="0" borderId="0">
      <alignment horizontal="right"/>
      <protection locked="0"/>
    </xf>
    <xf numFmtId="0" fontId="60" fillId="0" borderId="0" applyNumberFormat="0" applyFill="0" applyBorder="0" applyAlignment="0" applyProtection="0"/>
    <xf numFmtId="245" fontId="60" fillId="0" borderId="76" applyNumberFormat="0" applyFont="0" applyFill="0" applyAlignment="0">
      <alignment vertical="center"/>
    </xf>
    <xf numFmtId="0" fontId="41" fillId="0" borderId="38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2" fontId="4" fillId="95" borderId="0" applyNumberFormat="0" applyFont="0" applyBorder="0" applyAlignment="0" applyProtection="0"/>
    <xf numFmtId="0" fontId="311" fillId="52" borderId="78" applyNumberFormat="0" applyAlignment="0" applyProtection="0"/>
    <xf numFmtId="0" fontId="311" fillId="52" borderId="78" applyNumberFormat="0" applyAlignment="0" applyProtection="0"/>
    <xf numFmtId="0" fontId="312" fillId="96" borderId="79" applyNumberFormat="0" applyAlignment="0" applyProtection="0"/>
    <xf numFmtId="0" fontId="312" fillId="96" borderId="79" applyNumberFormat="0" applyAlignment="0" applyProtection="0"/>
    <xf numFmtId="350" fontId="6" fillId="0" borderId="0"/>
    <xf numFmtId="0" fontId="313" fillId="0" borderId="0" applyNumberFormat="0" applyFill="0" applyBorder="0" applyAlignment="0" applyProtection="0">
      <alignment vertical="top"/>
      <protection locked="0"/>
    </xf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4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351" fontId="45" fillId="0" borderId="0"/>
    <xf numFmtId="37" fontId="316" fillId="0" borderId="0" applyFont="0" applyFill="0" applyBorder="0" applyAlignment="0" applyProtection="0"/>
    <xf numFmtId="0" fontId="317" fillId="40" borderId="0">
      <alignment horizontal="center" vertical="center" wrapText="1"/>
    </xf>
    <xf numFmtId="3" fontId="6" fillId="13" borderId="0">
      <protection hidden="1"/>
    </xf>
    <xf numFmtId="0" fontId="6" fillId="13" borderId="0">
      <protection hidden="1"/>
    </xf>
    <xf numFmtId="0" fontId="318" fillId="13" borderId="0">
      <protection hidden="1"/>
    </xf>
    <xf numFmtId="352" fontId="38" fillId="13" borderId="0">
      <protection hidden="1"/>
    </xf>
    <xf numFmtId="292" fontId="6" fillId="0" borderId="80" applyFont="0" applyFill="0" applyBorder="0" applyAlignment="0" applyProtection="0"/>
    <xf numFmtId="212" fontId="6" fillId="0" borderId="0" applyFont="0" applyFill="0" applyBorder="0" applyAlignment="0" applyProtection="0"/>
    <xf numFmtId="353" fontId="6" fillId="0" borderId="0" applyFont="0" applyFill="0" applyBorder="0" applyAlignment="0" applyProtection="0"/>
    <xf numFmtId="16" fontId="319" fillId="0" borderId="0" applyFont="0" applyFill="0" applyBorder="0" applyAlignment="0" applyProtection="0"/>
    <xf numFmtId="15" fontId="319" fillId="0" borderId="0" applyFont="0" applyFill="0" applyBorder="0" applyAlignment="0" applyProtection="0"/>
    <xf numFmtId="17" fontId="319" fillId="0" borderId="0" applyFont="0" applyFill="0" applyBorder="0" applyAlignment="0" applyProtection="0"/>
    <xf numFmtId="354" fontId="6" fillId="0" borderId="30"/>
    <xf numFmtId="175" fontId="6" fillId="0" borderId="0"/>
    <xf numFmtId="0" fontId="318" fillId="0" borderId="0">
      <protection hidden="1"/>
    </xf>
    <xf numFmtId="0" fontId="6" fillId="0" borderId="0">
      <protection hidden="1"/>
    </xf>
    <xf numFmtId="0" fontId="34" fillId="0" borderId="0">
      <protection hidden="1"/>
    </xf>
    <xf numFmtId="355" fontId="60" fillId="0" borderId="0"/>
    <xf numFmtId="3" fontId="318" fillId="0" borderId="81"/>
    <xf numFmtId="0" fontId="56" fillId="0" borderId="0" applyFont="0" applyFill="0" applyBorder="0" applyAlignment="0" applyProtection="0"/>
    <xf numFmtId="356" fontId="6" fillId="0" borderId="0" applyFont="0" applyFill="0" applyBorder="0" applyAlignment="0" applyProtection="0"/>
    <xf numFmtId="357" fontId="6" fillId="0" borderId="0" applyFont="0" applyFill="0" applyBorder="0" applyAlignment="0" applyProtection="0"/>
    <xf numFmtId="0" fontId="294" fillId="0" borderId="0"/>
    <xf numFmtId="359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294" fillId="0" borderId="0"/>
    <xf numFmtId="0" fontId="6" fillId="0" borderId="0"/>
    <xf numFmtId="0" fontId="321" fillId="0" borderId="85" applyNumberFormat="0" applyFill="0" applyAlignment="0" applyProtection="0"/>
    <xf numFmtId="0" fontId="3" fillId="3" borderId="88"/>
    <xf numFmtId="0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6" fillId="0" borderId="0">
      <alignment vertical="center"/>
    </xf>
    <xf numFmtId="41" fontId="6" fillId="0" borderId="0" applyFont="0" applyFill="0" applyBorder="0" applyAlignment="0" applyProtection="0"/>
    <xf numFmtId="0" fontId="16" fillId="0" borderId="0" applyNumberFormat="0" applyFill="0" applyBorder="0" applyAlignment="0"/>
    <xf numFmtId="0" fontId="260" fillId="0" borderId="0" applyNumberFormat="0" applyFill="0" applyBorder="0" applyAlignment="0"/>
    <xf numFmtId="0" fontId="294" fillId="0" borderId="0" applyFont="0" applyFill="0" applyBorder="0" applyAlignment="0" applyProtection="0"/>
    <xf numFmtId="0" fontId="312" fillId="99" borderId="0"/>
    <xf numFmtId="0" fontId="107" fillId="0" borderId="0" applyFont="0" applyFill="0" applyBorder="0" applyAlignment="0" applyProtection="0">
      <alignment horizontal="right"/>
    </xf>
    <xf numFmtId="43" fontId="294" fillId="0" borderId="0" applyFont="0" applyFill="0" applyBorder="0" applyAlignment="0" applyProtection="0"/>
    <xf numFmtId="166" fontId="309" fillId="100" borderId="0" applyNumberFormat="0" applyBorder="0" applyProtection="0">
      <alignment vertical="center"/>
    </xf>
    <xf numFmtId="0" fontId="324" fillId="0" borderId="86" applyNumberFormat="0" applyFill="0" applyAlignment="0" applyProtection="0"/>
    <xf numFmtId="166" fontId="325" fillId="0" borderId="0" applyFill="0" applyBorder="0" applyAlignment="0" applyProtection="0"/>
    <xf numFmtId="0" fontId="326" fillId="101" borderId="0" applyProtection="0">
      <alignment vertical="center"/>
    </xf>
    <xf numFmtId="166" fontId="8" fillId="3" borderId="95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41" fontId="60" fillId="3" borderId="95"/>
    <xf numFmtId="234" fontId="4" fillId="3" borderId="95"/>
    <xf numFmtId="174" fontId="60" fillId="3" borderId="95"/>
    <xf numFmtId="241" fontId="3" fillId="3" borderId="94" applyFill="0" applyBorder="0" applyAlignment="0" applyProtection="0"/>
    <xf numFmtId="0" fontId="81" fillId="14" borderId="69" applyNumberFormat="0" applyFill="0" applyBorder="0" applyAlignment="0" applyProtection="0">
      <protection locked="0"/>
    </xf>
    <xf numFmtId="258" fontId="74" fillId="0" borderId="82" applyNumberFormat="0" applyFont="0" applyFill="0" applyAlignment="0" applyProtection="0"/>
    <xf numFmtId="0" fontId="34" fillId="0" borderId="69" applyNumberFormat="0" applyFont="0" applyFill="0" applyAlignment="0" applyProtection="0"/>
    <xf numFmtId="0" fontId="34" fillId="0" borderId="82" applyNumberFormat="0" applyFont="0" applyFill="0" applyAlignment="0" applyProtection="0"/>
    <xf numFmtId="0" fontId="31" fillId="0" borderId="82"/>
    <xf numFmtId="242" fontId="37" fillId="0" borderId="82"/>
    <xf numFmtId="43" fontId="37" fillId="0" borderId="82"/>
    <xf numFmtId="41" fontId="15" fillId="0" borderId="82"/>
    <xf numFmtId="178" fontId="15" fillId="0" borderId="82"/>
    <xf numFmtId="174" fontId="4" fillId="0" borderId="82"/>
    <xf numFmtId="221" fontId="4" fillId="0" borderId="82"/>
    <xf numFmtId="189" fontId="4" fillId="0" borderId="82"/>
    <xf numFmtId="44" fontId="15" fillId="0" borderId="82"/>
    <xf numFmtId="7" fontId="15" fillId="0" borderId="82"/>
    <xf numFmtId="15" fontId="118" fillId="0" borderId="82" applyBorder="0">
      <alignment horizontal="center"/>
    </xf>
    <xf numFmtId="14" fontId="149" fillId="3" borderId="94" applyProtection="0">
      <alignment horizontal="right"/>
    </xf>
    <xf numFmtId="174" fontId="6" fillId="3" borderId="93" applyProtection="0">
      <alignment horizontal="right"/>
    </xf>
    <xf numFmtId="166" fontId="149" fillId="3" borderId="94">
      <alignment horizontal="right"/>
    </xf>
    <xf numFmtId="166" fontId="149" fillId="3" borderId="94">
      <alignment horizontal="right"/>
    </xf>
    <xf numFmtId="192" fontId="35" fillId="0" borderId="69" applyFont="0" applyFill="0" applyBorder="0" applyAlignment="0" applyProtection="0"/>
    <xf numFmtId="10" fontId="38" fillId="0" borderId="69"/>
    <xf numFmtId="10" fontId="38" fillId="0" borderId="69"/>
    <xf numFmtId="311" fontId="84" fillId="3" borderId="94">
      <alignment horizontal="right"/>
    </xf>
    <xf numFmtId="9" fontId="15" fillId="0" borderId="82"/>
    <xf numFmtId="181" fontId="6" fillId="14" borderId="69" applyFill="0" applyBorder="0" applyAlignment="0" applyProtection="0"/>
    <xf numFmtId="174" fontId="15" fillId="0" borderId="82"/>
    <xf numFmtId="10" fontId="15" fillId="0" borderId="82"/>
    <xf numFmtId="311" fontId="84" fillId="3" borderId="94">
      <alignment horizontal="right"/>
    </xf>
    <xf numFmtId="0" fontId="4" fillId="0" borderId="82"/>
    <xf numFmtId="178" fontId="31" fillId="0" borderId="82">
      <alignment horizontal="right"/>
    </xf>
    <xf numFmtId="242" fontId="38" fillId="0" borderId="82"/>
    <xf numFmtId="178" fontId="38" fillId="0" borderId="82"/>
    <xf numFmtId="43" fontId="38" fillId="0" borderId="82"/>
    <xf numFmtId="0" fontId="2" fillId="0" borderId="82">
      <alignment horizontal="right"/>
    </xf>
    <xf numFmtId="3" fontId="50" fillId="0" borderId="82"/>
    <xf numFmtId="0" fontId="72" fillId="14" borderId="82" applyNumberFormat="0" applyFont="0" applyFill="0" applyAlignment="0" applyProtection="0">
      <protection locked="0"/>
    </xf>
    <xf numFmtId="251" fontId="4" fillId="0" borderId="82"/>
    <xf numFmtId="250" fontId="4" fillId="0" borderId="82"/>
    <xf numFmtId="166" fontId="6" fillId="0" borderId="82" applyNumberFormat="0" applyFont="0" applyFill="0" applyAlignment="0"/>
    <xf numFmtId="0" fontId="35" fillId="0" borderId="82" applyProtection="0">
      <alignment vertical="top"/>
    </xf>
    <xf numFmtId="166" fontId="3" fillId="3" borderId="94"/>
    <xf numFmtId="166" fontId="8" fillId="3" borderId="95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0" fontId="8" fillId="3" borderId="95"/>
    <xf numFmtId="0" fontId="60" fillId="0" borderId="82"/>
    <xf numFmtId="0" fontId="6" fillId="0" borderId="0">
      <alignment vertical="center"/>
    </xf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99" fillId="48" borderId="83" applyFill="0" applyBorder="0" applyProtection="0">
      <alignment horizontal="left"/>
    </xf>
    <xf numFmtId="0" fontId="342" fillId="80" borderId="0" applyNumberFormat="0" applyBorder="0" applyAlignment="0" applyProtection="0"/>
  </cellStyleXfs>
  <cellXfs count="366">
    <xf numFmtId="0" fontId="0" fillId="0" borderId="0" xfId="0"/>
    <xf numFmtId="4" fontId="0" fillId="0" borderId="0" xfId="0" applyNumberFormat="1"/>
    <xf numFmtId="166" fontId="0" fillId="0" borderId="0" xfId="0" applyNumberFormat="1"/>
    <xf numFmtId="4" fontId="11" fillId="0" borderId="0" xfId="0" applyNumberFormat="1" applyFont="1"/>
    <xf numFmtId="4" fontId="12" fillId="0" borderId="0" xfId="0" applyNumberFormat="1" applyFont="1"/>
    <xf numFmtId="166" fontId="14" fillId="0" borderId="0" xfId="0" applyNumberFormat="1" applyFont="1"/>
    <xf numFmtId="167" fontId="9" fillId="0" borderId="0" xfId="0" applyNumberFormat="1" applyFont="1" applyAlignment="1">
      <alignment horizontal="right"/>
    </xf>
    <xf numFmtId="0" fontId="14" fillId="0" borderId="0" xfId="0" applyFont="1"/>
    <xf numFmtId="166" fontId="8" fillId="0" borderId="0" xfId="0" applyNumberFormat="1" applyFont="1" applyAlignment="1">
      <alignment horizontal="left"/>
    </xf>
    <xf numFmtId="15" fontId="8" fillId="0" borderId="0" xfId="0" applyNumberFormat="1" applyFont="1" applyAlignment="1">
      <alignment horizontal="left"/>
    </xf>
    <xf numFmtId="166" fontId="8" fillId="0" borderId="0" xfId="0" applyNumberFormat="1" applyFont="1"/>
    <xf numFmtId="167" fontId="14" fillId="0" borderId="0" xfId="0" applyNumberFormat="1" applyFont="1"/>
    <xf numFmtId="166" fontId="14" fillId="0" borderId="0" xfId="0" applyNumberFormat="1" applyFont="1" applyAlignment="1">
      <alignment horizontal="right"/>
    </xf>
    <xf numFmtId="169" fontId="14" fillId="0" borderId="0" xfId="0" applyNumberFormat="1" applyFont="1" applyAlignment="1">
      <alignment horizontal="right"/>
    </xf>
    <xf numFmtId="166" fontId="9" fillId="0" borderId="0" xfId="0" applyNumberFormat="1" applyFont="1"/>
    <xf numFmtId="4" fontId="0" fillId="0" borderId="15" xfId="0" applyNumberFormat="1" applyBorder="1"/>
    <xf numFmtId="166" fontId="22" fillId="7" borderId="4" xfId="0" applyNumberFormat="1" applyFont="1" applyFill="1" applyBorder="1" applyAlignment="1">
      <alignment horizontal="left"/>
    </xf>
    <xf numFmtId="166" fontId="17" fillId="7" borderId="2" xfId="0" applyNumberFormat="1" applyFont="1" applyFill="1" applyBorder="1" applyAlignment="1">
      <alignment horizontal="left"/>
    </xf>
    <xf numFmtId="15" fontId="8" fillId="7" borderId="2" xfId="0" applyNumberFormat="1" applyFont="1" applyFill="1" applyBorder="1" applyAlignment="1">
      <alignment horizontal="left"/>
    </xf>
    <xf numFmtId="166" fontId="8" fillId="7" borderId="2" xfId="0" applyNumberFormat="1" applyFont="1" applyFill="1" applyBorder="1"/>
    <xf numFmtId="166" fontId="14" fillId="7" borderId="2" xfId="0" applyNumberFormat="1" applyFont="1" applyFill="1" applyBorder="1"/>
    <xf numFmtId="167" fontId="14" fillId="7" borderId="2" xfId="0" applyNumberFormat="1" applyFont="1" applyFill="1" applyBorder="1"/>
    <xf numFmtId="166" fontId="14" fillId="7" borderId="5" xfId="0" applyNumberFormat="1" applyFont="1" applyFill="1" applyBorder="1"/>
    <xf numFmtId="166" fontId="25" fillId="0" borderId="0" xfId="0" applyNumberFormat="1" applyFont="1"/>
    <xf numFmtId="0" fontId="21" fillId="0" borderId="2" xfId="0" applyFont="1" applyBorder="1"/>
    <xf numFmtId="166" fontId="2" fillId="7" borderId="2" xfId="0" applyNumberFormat="1" applyFont="1" applyFill="1" applyBorder="1"/>
    <xf numFmtId="0" fontId="21" fillId="0" borderId="0" xfId="0" applyFont="1"/>
    <xf numFmtId="167" fontId="0" fillId="8" borderId="13" xfId="0" applyNumberFormat="1" applyFill="1" applyBorder="1"/>
    <xf numFmtId="0" fontId="6" fillId="0" borderId="0" xfId="1686"/>
    <xf numFmtId="0" fontId="21" fillId="8" borderId="13" xfId="0" applyFont="1" applyFill="1" applyBorder="1" applyAlignment="1">
      <alignment horizontal="center"/>
    </xf>
    <xf numFmtId="166" fontId="14" fillId="0" borderId="0" xfId="0" applyNumberFormat="1" applyFont="1" applyAlignment="1">
      <alignment horizontal="left"/>
    </xf>
    <xf numFmtId="0" fontId="259" fillId="0" borderId="0" xfId="0" applyFont="1"/>
    <xf numFmtId="166" fontId="258" fillId="0" borderId="0" xfId="0" applyNumberFormat="1" applyFont="1"/>
    <xf numFmtId="166" fontId="6" fillId="0" borderId="2" xfId="0" applyNumberFormat="1" applyFont="1" applyBorder="1"/>
    <xf numFmtId="0" fontId="258" fillId="0" borderId="0" xfId="0" applyFont="1"/>
    <xf numFmtId="0" fontId="25" fillId="0" borderId="0" xfId="0" applyFont="1"/>
    <xf numFmtId="0" fontId="261" fillId="60" borderId="65" xfId="0" applyFont="1" applyFill="1" applyBorder="1"/>
    <xf numFmtId="169" fontId="261" fillId="60" borderId="65" xfId="0" applyNumberFormat="1" applyFont="1" applyFill="1" applyBorder="1" applyAlignment="1">
      <alignment horizontal="right"/>
    </xf>
    <xf numFmtId="0" fontId="261" fillId="0" borderId="0" xfId="0" applyFont="1"/>
    <xf numFmtId="0" fontId="262" fillId="0" borderId="0" xfId="0" applyFont="1" applyAlignment="1">
      <alignment horizontal="left" indent="1"/>
    </xf>
    <xf numFmtId="166" fontId="261" fillId="0" borderId="0" xfId="0" applyNumberFormat="1" applyFont="1"/>
    <xf numFmtId="0" fontId="0" fillId="0" borderId="11" xfId="0" applyBorder="1"/>
    <xf numFmtId="0" fontId="263" fillId="61" borderId="0" xfId="0" applyFont="1" applyFill="1" applyAlignment="1">
      <alignment horizontal="left"/>
    </xf>
    <xf numFmtId="168" fontId="261" fillId="60" borderId="65" xfId="0" applyNumberFormat="1" applyFont="1" applyFill="1" applyBorder="1" applyAlignment="1">
      <alignment horizontal="right"/>
    </xf>
    <xf numFmtId="4" fontId="261" fillId="0" borderId="0" xfId="0" applyNumberFormat="1" applyFont="1"/>
    <xf numFmtId="0" fontId="265" fillId="0" borderId="0" xfId="0" applyFont="1"/>
    <xf numFmtId="0" fontId="263" fillId="62" borderId="0" xfId="0" applyFont="1" applyFill="1"/>
    <xf numFmtId="166" fontId="263" fillId="62" borderId="0" xfId="0" applyNumberFormat="1" applyFont="1" applyFill="1"/>
    <xf numFmtId="166" fontId="21" fillId="0" borderId="2" xfId="0" applyNumberFormat="1" applyFont="1" applyBorder="1"/>
    <xf numFmtId="0" fontId="21" fillId="8" borderId="0" xfId="0" applyFont="1" applyFill="1" applyAlignment="1">
      <alignment horizontal="center"/>
    </xf>
    <xf numFmtId="0" fontId="21" fillId="8" borderId="14" xfId="0" applyFont="1" applyFill="1" applyBorder="1" applyAlignment="1">
      <alignment horizontal="center"/>
    </xf>
    <xf numFmtId="167" fontId="16" fillId="0" borderId="1" xfId="0" applyNumberFormat="1" applyFont="1" applyBorder="1"/>
    <xf numFmtId="167" fontId="0" fillId="0" borderId="0" xfId="0" applyNumberFormat="1"/>
    <xf numFmtId="0" fontId="251" fillId="0" borderId="0" xfId="0" applyFont="1"/>
    <xf numFmtId="167" fontId="251" fillId="0" borderId="0" xfId="0" applyNumberFormat="1" applyFont="1"/>
    <xf numFmtId="0" fontId="0" fillId="0" borderId="2" xfId="0" applyBorder="1"/>
    <xf numFmtId="0" fontId="0" fillId="0" borderId="8" xfId="0" applyBorder="1"/>
    <xf numFmtId="167" fontId="21" fillId="0" borderId="2" xfId="0" applyNumberFormat="1" applyFont="1" applyBorder="1"/>
    <xf numFmtId="0" fontId="252" fillId="8" borderId="13" xfId="0" applyFont="1" applyFill="1" applyBorder="1"/>
    <xf numFmtId="10" fontId="0" fillId="8" borderId="0" xfId="0" applyNumberFormat="1" applyFill="1"/>
    <xf numFmtId="10" fontId="0" fillId="8" borderId="14" xfId="0" applyNumberFormat="1" applyFill="1" applyBorder="1"/>
    <xf numFmtId="37" fontId="0" fillId="0" borderId="7" xfId="0" applyNumberFormat="1" applyBorder="1"/>
    <xf numFmtId="37" fontId="0" fillId="0" borderId="8" xfId="0" applyNumberFormat="1" applyBorder="1"/>
    <xf numFmtId="37" fontId="0" fillId="0" borderId="9" xfId="0" applyNumberFormat="1" applyBorder="1"/>
    <xf numFmtId="37" fontId="0" fillId="0" borderId="13" xfId="0" applyNumberFormat="1" applyBorder="1"/>
    <xf numFmtId="37" fontId="0" fillId="8" borderId="0" xfId="0" applyNumberFormat="1" applyFill="1"/>
    <xf numFmtId="37" fontId="0" fillId="0" borderId="0" xfId="0" applyNumberFormat="1"/>
    <xf numFmtId="37" fontId="0" fillId="0" borderId="14" xfId="0" applyNumberFormat="1" applyBorder="1"/>
    <xf numFmtId="37" fontId="0" fillId="0" borderId="10" xfId="0" applyNumberFormat="1" applyBorder="1"/>
    <xf numFmtId="37" fontId="0" fillId="0" borderId="11" xfId="0" applyNumberFormat="1" applyBorder="1"/>
    <xf numFmtId="37" fontId="0" fillId="0" borderId="12" xfId="0" applyNumberFormat="1" applyBorder="1"/>
    <xf numFmtId="0" fontId="261" fillId="60" borderId="0" xfId="0" applyFont="1" applyFill="1"/>
    <xf numFmtId="0" fontId="0" fillId="0" borderId="69" xfId="0" applyBorder="1"/>
    <xf numFmtId="167" fontId="251" fillId="0" borderId="69" xfId="0" applyNumberFormat="1" applyFont="1" applyBorder="1"/>
    <xf numFmtId="0" fontId="255" fillId="60" borderId="65" xfId="0" applyFont="1" applyFill="1" applyBorder="1"/>
    <xf numFmtId="0" fontId="263" fillId="63" borderId="0" xfId="0" applyFont="1" applyFill="1"/>
    <xf numFmtId="166" fontId="261" fillId="60" borderId="0" xfId="0" applyNumberFormat="1" applyFont="1" applyFill="1"/>
    <xf numFmtId="166" fontId="261" fillId="60" borderId="65" xfId="0" applyNumberFormat="1" applyFont="1" applyFill="1" applyBorder="1"/>
    <xf numFmtId="0" fontId="261" fillId="60" borderId="65" xfId="0" applyFont="1" applyFill="1" applyBorder="1" applyAlignment="1">
      <alignment horizontal="center"/>
    </xf>
    <xf numFmtId="0" fontId="21" fillId="8" borderId="0" xfId="0" applyFont="1" applyFill="1" applyAlignment="1">
      <alignment horizontal="left"/>
    </xf>
    <xf numFmtId="166" fontId="261" fillId="0" borderId="0" xfId="0" applyNumberFormat="1" applyFont="1" applyAlignment="1">
      <alignment horizontal="right"/>
    </xf>
    <xf numFmtId="167" fontId="21" fillId="0" borderId="0" xfId="0" applyNumberFormat="1" applyFont="1"/>
    <xf numFmtId="166" fontId="0" fillId="0" borderId="8" xfId="0" applyNumberFormat="1" applyBorder="1"/>
    <xf numFmtId="167" fontId="21" fillId="0" borderId="8" xfId="0" applyNumberFormat="1" applyFont="1" applyBorder="1"/>
    <xf numFmtId="0" fontId="251" fillId="0" borderId="11" xfId="0" applyFont="1" applyBorder="1"/>
    <xf numFmtId="174" fontId="251" fillId="0" borderId="11" xfId="2309" applyNumberFormat="1" applyFont="1" applyBorder="1"/>
    <xf numFmtId="167" fontId="21" fillId="0" borderId="11" xfId="0" applyNumberFormat="1" applyFont="1" applyBorder="1"/>
    <xf numFmtId="0" fontId="263" fillId="65" borderId="0" xfId="0" applyFont="1" applyFill="1" applyAlignment="1">
      <alignment horizontal="center"/>
    </xf>
    <xf numFmtId="166" fontId="263" fillId="7" borderId="8" xfId="0" applyNumberFormat="1" applyFont="1" applyFill="1" applyBorder="1" applyAlignment="1">
      <alignment horizontal="left"/>
    </xf>
    <xf numFmtId="166" fontId="17" fillId="7" borderId="8" xfId="0" applyNumberFormat="1" applyFont="1" applyFill="1" applyBorder="1" applyAlignment="1">
      <alignment horizontal="left"/>
    </xf>
    <xf numFmtId="15" fontId="8" fillId="7" borderId="8" xfId="0" applyNumberFormat="1" applyFont="1" applyFill="1" applyBorder="1" applyAlignment="1">
      <alignment horizontal="left"/>
    </xf>
    <xf numFmtId="166" fontId="22" fillId="7" borderId="8" xfId="0" applyNumberFormat="1" applyFont="1" applyFill="1" applyBorder="1" applyAlignment="1">
      <alignment horizontal="left"/>
    </xf>
    <xf numFmtId="0" fontId="6" fillId="0" borderId="0" xfId="0" applyFont="1"/>
    <xf numFmtId="0" fontId="16" fillId="0" borderId="0" xfId="0" applyFont="1"/>
    <xf numFmtId="0" fontId="9" fillId="0" borderId="0" xfId="0" applyFont="1" applyAlignment="1">
      <alignment horizontal="right"/>
    </xf>
    <xf numFmtId="0" fontId="262" fillId="0" borderId="0" xfId="0" applyFont="1" applyAlignment="1">
      <alignment horizontal="right"/>
    </xf>
    <xf numFmtId="0" fontId="296" fillId="0" borderId="0" xfId="0" applyFont="1" applyAlignment="1">
      <alignment horizontal="right"/>
    </xf>
    <xf numFmtId="0" fontId="261" fillId="0" borderId="11" xfId="0" applyFont="1" applyBorder="1"/>
    <xf numFmtId="0" fontId="6" fillId="0" borderId="11" xfId="0" applyFont="1" applyBorder="1"/>
    <xf numFmtId="168" fontId="261" fillId="60" borderId="0" xfId="0" applyNumberFormat="1" applyFont="1" applyFill="1" applyAlignment="1">
      <alignment horizontal="right"/>
    </xf>
    <xf numFmtId="168" fontId="261" fillId="60" borderId="0" xfId="0" applyNumberFormat="1" applyFont="1" applyFill="1"/>
    <xf numFmtId="0" fontId="263" fillId="65" borderId="0" xfId="0" applyFont="1" applyFill="1"/>
    <xf numFmtId="168" fontId="263" fillId="65" borderId="0" xfId="0" applyNumberFormat="1" applyFont="1" applyFill="1" applyAlignment="1">
      <alignment horizontal="right"/>
    </xf>
    <xf numFmtId="167" fontId="262" fillId="0" borderId="0" xfId="0" applyNumberFormat="1" applyFont="1" applyAlignment="1">
      <alignment horizontal="right"/>
    </xf>
    <xf numFmtId="166" fontId="261" fillId="0" borderId="2" xfId="0" applyNumberFormat="1" applyFont="1" applyBorder="1"/>
    <xf numFmtId="0" fontId="261" fillId="0" borderId="0" xfId="1686" applyFont="1"/>
    <xf numFmtId="0" fontId="262" fillId="0" borderId="0" xfId="0" quotePrefix="1" applyFont="1" applyAlignment="1">
      <alignment horizontal="left" indent="1"/>
    </xf>
    <xf numFmtId="166" fontId="16" fillId="0" borderId="2" xfId="0" applyNumberFormat="1" applyFont="1" applyBorder="1"/>
    <xf numFmtId="10" fontId="14" fillId="0" borderId="0" xfId="0" applyNumberFormat="1" applyFont="1"/>
    <xf numFmtId="166" fontId="6" fillId="0" borderId="0" xfId="0" applyNumberFormat="1" applyFont="1"/>
    <xf numFmtId="166" fontId="297" fillId="0" borderId="2" xfId="0" applyNumberFormat="1" applyFont="1" applyBorder="1"/>
    <xf numFmtId="15" fontId="16" fillId="5" borderId="73" xfId="2" applyNumberFormat="1" applyFont="1" applyFill="1" applyBorder="1" applyAlignment="1">
      <alignment horizontal="right"/>
    </xf>
    <xf numFmtId="15" fontId="261" fillId="0" borderId="73" xfId="2" applyNumberFormat="1" applyFont="1" applyBorder="1" applyAlignment="1">
      <alignment horizontal="right"/>
    </xf>
    <xf numFmtId="174" fontId="299" fillId="0" borderId="0" xfId="2309" applyNumberFormat="1" applyFont="1" applyFill="1" applyBorder="1"/>
    <xf numFmtId="322" fontId="16" fillId="0" borderId="6" xfId="0" applyNumberFormat="1" applyFont="1" applyBorder="1"/>
    <xf numFmtId="190" fontId="261" fillId="0" borderId="0" xfId="0" applyNumberFormat="1" applyFont="1"/>
    <xf numFmtId="190" fontId="261" fillId="0" borderId="0" xfId="0" applyNumberFormat="1" applyFont="1" applyAlignment="1">
      <alignment horizontal="right"/>
    </xf>
    <xf numFmtId="322" fontId="262" fillId="0" borderId="0" xfId="0" applyNumberFormat="1" applyFont="1" applyAlignment="1">
      <alignment horizontal="right"/>
    </xf>
    <xf numFmtId="322" fontId="9" fillId="0" borderId="0" xfId="0" applyNumberFormat="1" applyFont="1" applyAlignment="1">
      <alignment horizontal="right"/>
    </xf>
    <xf numFmtId="322" fontId="298" fillId="3" borderId="1" xfId="2311" applyNumberFormat="1" applyFont="1" applyFill="1" applyBorder="1"/>
    <xf numFmtId="15" fontId="16" fillId="80" borderId="1" xfId="2" applyNumberFormat="1" applyFont="1" applyFill="1" applyBorder="1" applyAlignment="1">
      <alignment horizontal="right"/>
    </xf>
    <xf numFmtId="166" fontId="8" fillId="80" borderId="6" xfId="0" applyNumberFormat="1" applyFont="1" applyFill="1" applyBorder="1" applyAlignment="1">
      <alignment horizontal="right"/>
    </xf>
    <xf numFmtId="249" fontId="6" fillId="0" borderId="0" xfId="1686" applyNumberFormat="1"/>
    <xf numFmtId="249" fontId="261" fillId="0" borderId="8" xfId="0" applyNumberFormat="1" applyFont="1" applyBorder="1"/>
    <xf numFmtId="190" fontId="261" fillId="0" borderId="11" xfId="0" applyNumberFormat="1" applyFont="1" applyBorder="1"/>
    <xf numFmtId="323" fontId="0" fillId="0" borderId="0" xfId="0" applyNumberFormat="1"/>
    <xf numFmtId="0" fontId="261" fillId="60" borderId="65" xfId="0" applyFont="1" applyFill="1" applyBorder="1" applyAlignment="1">
      <alignment horizontal="right"/>
    </xf>
    <xf numFmtId="174" fontId="0" fillId="8" borderId="13" xfId="0" applyNumberFormat="1" applyFill="1" applyBorder="1"/>
    <xf numFmtId="174" fontId="0" fillId="8" borderId="10" xfId="0" applyNumberFormat="1" applyFill="1" applyBorder="1"/>
    <xf numFmtId="166" fontId="297" fillId="0" borderId="0" xfId="0" applyNumberFormat="1" applyFont="1"/>
    <xf numFmtId="166" fontId="0" fillId="0" borderId="2" xfId="0" applyNumberFormat="1" applyBorder="1"/>
    <xf numFmtId="166" fontId="0" fillId="0" borderId="70" xfId="0" applyNumberFormat="1" applyBorder="1"/>
    <xf numFmtId="166" fontId="0" fillId="0" borderId="11" xfId="0" applyNumberFormat="1" applyBorder="1"/>
    <xf numFmtId="249" fontId="0" fillId="0" borderId="8" xfId="0" applyNumberFormat="1" applyBorder="1"/>
    <xf numFmtId="190" fontId="0" fillId="0" borderId="11" xfId="0" applyNumberFormat="1" applyBorder="1"/>
    <xf numFmtId="166" fontId="263" fillId="61" borderId="0" xfId="0" applyNumberFormat="1" applyFont="1" applyFill="1" applyAlignment="1">
      <alignment horizontal="right"/>
    </xf>
    <xf numFmtId="166" fontId="263" fillId="61" borderId="0" xfId="0" applyNumberFormat="1" applyFont="1" applyFill="1" applyAlignment="1">
      <alignment horizontal="left"/>
    </xf>
    <xf numFmtId="323" fontId="0" fillId="8" borderId="0" xfId="0" applyNumberFormat="1" applyFill="1"/>
    <xf numFmtId="323" fontId="0" fillId="8" borderId="14" xfId="0" applyNumberFormat="1" applyFill="1" applyBorder="1"/>
    <xf numFmtId="169" fontId="261" fillId="60" borderId="0" xfId="0" applyNumberFormat="1" applyFont="1" applyFill="1" applyAlignment="1">
      <alignment horizontal="right"/>
    </xf>
    <xf numFmtId="168" fontId="16" fillId="60" borderId="65" xfId="0" applyNumberFormat="1" applyFont="1" applyFill="1" applyBorder="1" applyAlignment="1">
      <alignment horizontal="right"/>
    </xf>
    <xf numFmtId="322" fontId="0" fillId="0" borderId="0" xfId="0" applyNumberFormat="1"/>
    <xf numFmtId="166" fontId="320" fillId="0" borderId="0" xfId="0" applyNumberFormat="1" applyFont="1"/>
    <xf numFmtId="166" fontId="1" fillId="0" borderId="0" xfId="0" applyNumberFormat="1" applyFont="1"/>
    <xf numFmtId="0" fontId="320" fillId="0" borderId="0" xfId="0" applyFont="1"/>
    <xf numFmtId="0" fontId="1" fillId="0" borderId="0" xfId="0" applyFont="1"/>
    <xf numFmtId="322" fontId="298" fillId="3" borderId="74" xfId="2311" applyNumberFormat="1" applyFont="1" applyFill="1" applyBorder="1"/>
    <xf numFmtId="166" fontId="16" fillId="0" borderId="0" xfId="0" applyNumberFormat="1" applyFont="1"/>
    <xf numFmtId="323" fontId="297" fillId="0" borderId="72" xfId="0" applyNumberFormat="1" applyFont="1" applyBorder="1"/>
    <xf numFmtId="10" fontId="297" fillId="0" borderId="72" xfId="0" applyNumberFormat="1" applyFont="1" applyBorder="1"/>
    <xf numFmtId="167" fontId="297" fillId="0" borderId="62" xfId="0" applyNumberFormat="1" applyFont="1" applyBorder="1"/>
    <xf numFmtId="166" fontId="252" fillId="8" borderId="13" xfId="0" applyNumberFormat="1" applyFont="1" applyFill="1" applyBorder="1"/>
    <xf numFmtId="249" fontId="0" fillId="0" borderId="0" xfId="0" applyNumberFormat="1"/>
    <xf numFmtId="0" fontId="19" fillId="0" borderId="0" xfId="3623" applyFont="1"/>
    <xf numFmtId="0" fontId="16" fillId="0" borderId="0" xfId="3623" applyFont="1"/>
    <xf numFmtId="322" fontId="262" fillId="3" borderId="1" xfId="2311" applyNumberFormat="1" applyFont="1" applyFill="1" applyBorder="1"/>
    <xf numFmtId="4" fontId="2" fillId="0" borderId="0" xfId="0" applyNumberFormat="1" applyFont="1"/>
    <xf numFmtId="4" fontId="6" fillId="0" borderId="0" xfId="0" applyNumberFormat="1" applyFont="1"/>
    <xf numFmtId="4" fontId="6" fillId="0" borderId="0" xfId="0" quotePrefix="1" applyNumberFormat="1" applyFont="1"/>
    <xf numFmtId="0" fontId="261" fillId="0" borderId="0" xfId="3623" applyFont="1"/>
    <xf numFmtId="0" fontId="328" fillId="102" borderId="0" xfId="3623" applyFont="1" applyFill="1"/>
    <xf numFmtId="0" fontId="329" fillId="0" borderId="85" xfId="3628" applyFont="1"/>
    <xf numFmtId="0" fontId="294" fillId="0" borderId="0" xfId="0" applyFont="1"/>
    <xf numFmtId="0" fontId="250" fillId="0" borderId="0" xfId="3623" applyFont="1"/>
    <xf numFmtId="0" fontId="294" fillId="0" borderId="0" xfId="3623"/>
    <xf numFmtId="0" fontId="263" fillId="102" borderId="0" xfId="3623" applyFont="1" applyFill="1" applyAlignment="1">
      <alignment horizontal="left"/>
    </xf>
    <xf numFmtId="0" fontId="261" fillId="60" borderId="0" xfId="3623" applyFont="1" applyFill="1" applyAlignment="1">
      <alignment horizontal="left" vertical="center" readingOrder="1"/>
    </xf>
    <xf numFmtId="0" fontId="261" fillId="60" borderId="0" xfId="3623" applyFont="1" applyFill="1" applyAlignment="1">
      <alignment horizontal="left" vertical="center" wrapText="1" readingOrder="1"/>
    </xf>
    <xf numFmtId="0" fontId="261" fillId="60" borderId="0" xfId="3624" applyNumberFormat="1" applyFont="1" applyFill="1" applyAlignment="1">
      <alignment horizontal="right" vertical="center" wrapText="1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wrapText="1" readingOrder="1"/>
    </xf>
    <xf numFmtId="0" fontId="261" fillId="60" borderId="89" xfId="3623" applyFont="1" applyFill="1" applyBorder="1" applyAlignment="1">
      <alignment horizontal="right" vertical="center" wrapText="1" readingOrder="1"/>
    </xf>
    <xf numFmtId="359" fontId="255" fillId="6" borderId="0" xfId="3624" applyFont="1" applyFill="1" applyAlignment="1">
      <alignment vertical="center"/>
    </xf>
    <xf numFmtId="0" fontId="255" fillId="6" borderId="0" xfId="3624" applyNumberFormat="1" applyFont="1" applyFill="1" applyAlignment="1">
      <alignment vertical="center"/>
    </xf>
    <xf numFmtId="359" fontId="330" fillId="0" borderId="0" xfId="3624" applyFont="1" applyAlignment="1">
      <alignment vertical="center"/>
    </xf>
    <xf numFmtId="0" fontId="330" fillId="0" borderId="0" xfId="3624" applyNumberFormat="1" applyFont="1" applyAlignment="1">
      <alignment vertical="center"/>
    </xf>
    <xf numFmtId="0" fontId="330" fillId="0" borderId="0" xfId="3625" applyFont="1" applyFill="1" applyBorder="1" applyAlignment="1">
      <alignment vertical="center"/>
    </xf>
    <xf numFmtId="0" fontId="330" fillId="0" borderId="0" xfId="3625" applyFont="1" applyAlignment="1">
      <alignment vertical="center"/>
    </xf>
    <xf numFmtId="359" fontId="261" fillId="0" borderId="0" xfId="3624" applyFont="1" applyAlignment="1">
      <alignment vertical="center"/>
    </xf>
    <xf numFmtId="0" fontId="261" fillId="0" borderId="0" xfId="3624" applyNumberFormat="1" applyFont="1" applyAlignment="1">
      <alignment vertical="center"/>
    </xf>
    <xf numFmtId="359" fontId="255" fillId="6" borderId="11" xfId="3624" applyFont="1" applyFill="1" applyBorder="1" applyAlignment="1">
      <alignment vertical="center"/>
    </xf>
    <xf numFmtId="0" fontId="255" fillId="6" borderId="11" xfId="3624" applyNumberFormat="1" applyFont="1" applyFill="1" applyBorder="1" applyAlignment="1">
      <alignment vertical="center"/>
    </xf>
    <xf numFmtId="15" fontId="261" fillId="60" borderId="0" xfId="3623" applyNumberFormat="1" applyFont="1" applyFill="1" applyAlignment="1">
      <alignment horizontal="right" vertical="center" wrapText="1" readingOrder="1"/>
    </xf>
    <xf numFmtId="15" fontId="261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Continuous" vertical="center" wrapText="1" readingOrder="1"/>
    </xf>
    <xf numFmtId="0" fontId="261" fillId="0" borderId="0" xfId="3626" applyFont="1" applyAlignment="1">
      <alignment vertical="center"/>
    </xf>
    <xf numFmtId="322" fontId="261" fillId="0" borderId="0" xfId="3625" quotePrefix="1" applyNumberFormat="1" applyFont="1" applyFill="1" applyBorder="1" applyAlignment="1">
      <alignment horizontal="center" vertical="center" wrapText="1" readingOrder="1"/>
    </xf>
    <xf numFmtId="323" fontId="261" fillId="0" borderId="0" xfId="3630" applyNumberFormat="1" applyFont="1" applyFill="1" applyBorder="1" applyAlignment="1">
      <alignment horizontal="center" vertical="center" wrapText="1" readingOrder="1"/>
    </xf>
    <xf numFmtId="0" fontId="255" fillId="6" borderId="87" xfId="3626" applyFont="1" applyFill="1" applyBorder="1" applyAlignment="1">
      <alignment vertical="center"/>
    </xf>
    <xf numFmtId="323" fontId="255" fillId="0" borderId="0" xfId="3630" applyNumberFormat="1" applyFont="1" applyFill="1" applyBorder="1" applyAlignment="1">
      <alignment horizontal="center" vertical="center" wrapText="1" readingOrder="1"/>
    </xf>
    <xf numFmtId="323" fontId="294" fillId="0" borderId="0" xfId="0" applyNumberFormat="1" applyFont="1"/>
    <xf numFmtId="0" fontId="255" fillId="0" borderId="0" xfId="3623" applyFont="1" applyAlignment="1">
      <alignment horizontal="left" vertical="center" readingOrder="1"/>
    </xf>
    <xf numFmtId="15" fontId="261" fillId="0" borderId="0" xfId="3623" applyNumberFormat="1" applyFont="1" applyAlignment="1">
      <alignment horizontal="right" vertical="center" wrapText="1" readingOrder="1"/>
    </xf>
    <xf numFmtId="15" fontId="255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" vertical="center" readingOrder="1"/>
    </xf>
    <xf numFmtId="0" fontId="261" fillId="0" borderId="87" xfId="0" applyFont="1" applyBorder="1"/>
    <xf numFmtId="0" fontId="255" fillId="103" borderId="87" xfId="3623" applyFont="1" applyFill="1" applyBorder="1" applyAlignment="1">
      <alignment horizontal="left" vertical="center"/>
    </xf>
    <xf numFmtId="0" fontId="255" fillId="103" borderId="87" xfId="3623" applyFont="1" applyFill="1" applyBorder="1" applyAlignment="1">
      <alignment horizontal="left"/>
    </xf>
    <xf numFmtId="0" fontId="261" fillId="103" borderId="87" xfId="3623" applyFont="1" applyFill="1" applyBorder="1"/>
    <xf numFmtId="0" fontId="322" fillId="0" borderId="0" xfId="0" applyFont="1" applyAlignment="1">
      <alignment vertical="center"/>
    </xf>
    <xf numFmtId="0" fontId="327" fillId="0" borderId="0" xfId="0" applyFont="1" applyAlignment="1">
      <alignment horizontal="left" vertical="center"/>
    </xf>
    <xf numFmtId="167" fontId="327" fillId="0" borderId="0" xfId="0" applyNumberFormat="1" applyFont="1" applyAlignment="1">
      <alignment horizontal="right" vertical="center"/>
    </xf>
    <xf numFmtId="0" fontId="327" fillId="0" borderId="0" xfId="0" applyFont="1" applyAlignment="1">
      <alignment horizontal="right" vertical="center"/>
    </xf>
    <xf numFmtId="0" fontId="323" fillId="0" borderId="0" xfId="0" applyFont="1" applyAlignment="1">
      <alignment vertical="center"/>
    </xf>
    <xf numFmtId="166" fontId="323" fillId="0" borderId="0" xfId="0" applyNumberFormat="1" applyFont="1" applyAlignment="1">
      <alignment vertical="center"/>
    </xf>
    <xf numFmtId="168" fontId="261" fillId="60" borderId="0" xfId="0" applyNumberFormat="1" applyFont="1" applyFill="1" applyAlignment="1">
      <alignment horizontal="center"/>
    </xf>
    <xf numFmtId="169" fontId="261" fillId="60" borderId="65" xfId="0" applyNumberFormat="1" applyFont="1" applyFill="1" applyBorder="1" applyAlignment="1">
      <alignment horizontal="center"/>
    </xf>
    <xf numFmtId="168" fontId="263" fillId="65" borderId="0" xfId="0" applyNumberFormat="1" applyFont="1" applyFill="1" applyAlignment="1">
      <alignment horizontal="center"/>
    </xf>
    <xf numFmtId="249" fontId="323" fillId="0" borderId="0" xfId="0" applyNumberFormat="1" applyFont="1" applyAlignment="1">
      <alignment horizontal="center" vertical="center"/>
    </xf>
    <xf numFmtId="167" fontId="327" fillId="0" borderId="0" xfId="0" applyNumberFormat="1" applyFont="1" applyAlignment="1">
      <alignment horizontal="center" vertical="center"/>
    </xf>
    <xf numFmtId="249" fontId="322" fillId="0" borderId="0" xfId="0" applyNumberFormat="1" applyFont="1" applyAlignment="1">
      <alignment horizontal="center" vertical="center"/>
    </xf>
    <xf numFmtId="322" fontId="327" fillId="0" borderId="0" xfId="0" applyNumberFormat="1" applyFont="1" applyAlignment="1">
      <alignment horizontal="center" vertical="center"/>
    </xf>
    <xf numFmtId="322" fontId="14" fillId="0" borderId="0" xfId="0" applyNumberFormat="1" applyFont="1"/>
    <xf numFmtId="249" fontId="331" fillId="6" borderId="0" xfId="3624" applyNumberFormat="1" applyFont="1" applyFill="1" applyAlignment="1">
      <alignment vertical="center"/>
    </xf>
    <xf numFmtId="0" fontId="331" fillId="0" borderId="0" xfId="3624" applyNumberFormat="1" applyFont="1" applyFill="1" applyAlignment="1">
      <alignment vertical="center"/>
    </xf>
    <xf numFmtId="322" fontId="332" fillId="0" borderId="0" xfId="3625" applyNumberFormat="1" applyFont="1" applyAlignment="1">
      <alignment vertical="center"/>
    </xf>
    <xf numFmtId="0" fontId="332" fillId="0" borderId="0" xfId="3625" applyFont="1" applyFill="1" applyAlignment="1">
      <alignment vertical="center"/>
    </xf>
    <xf numFmtId="249" fontId="333" fillId="0" borderId="0" xfId="3624" applyNumberFormat="1" applyFont="1" applyAlignment="1">
      <alignment vertical="center"/>
    </xf>
    <xf numFmtId="0" fontId="333" fillId="0" borderId="0" xfId="3624" applyNumberFormat="1" applyFont="1" applyFill="1" applyAlignment="1">
      <alignment vertical="center"/>
    </xf>
    <xf numFmtId="249" fontId="333" fillId="0" borderId="0" xfId="3624" applyNumberFormat="1" applyFont="1" applyFill="1" applyAlignment="1">
      <alignment vertical="center"/>
    </xf>
    <xf numFmtId="190" fontId="333" fillId="0" borderId="0" xfId="3624" applyNumberFormat="1" applyFont="1" applyAlignment="1">
      <alignment vertical="center"/>
    </xf>
    <xf numFmtId="358" fontId="333" fillId="0" borderId="0" xfId="3624" applyNumberFormat="1" applyFont="1" applyAlignment="1">
      <alignment vertical="center"/>
    </xf>
    <xf numFmtId="249" fontId="331" fillId="6" borderId="11" xfId="3624" applyNumberFormat="1" applyFont="1" applyFill="1" applyBorder="1" applyAlignment="1">
      <alignment vertical="center"/>
    </xf>
    <xf numFmtId="249" fontId="333" fillId="0" borderId="0" xfId="3624" applyNumberFormat="1" applyFont="1" applyFill="1" applyAlignment="1">
      <alignment horizontal="center" vertical="center"/>
    </xf>
    <xf numFmtId="322" fontId="333" fillId="0" borderId="0" xfId="3625" applyNumberFormat="1" applyFont="1" applyFill="1" applyAlignment="1">
      <alignment horizontal="center" vertical="center"/>
    </xf>
    <xf numFmtId="249" fontId="331" fillId="6" borderId="87" xfId="3624" applyNumberFormat="1" applyFont="1" applyFill="1" applyBorder="1" applyAlignment="1">
      <alignment horizontal="center" vertical="center"/>
    </xf>
    <xf numFmtId="322" fontId="331" fillId="6" borderId="87" xfId="3625" applyNumberFormat="1" applyFont="1" applyFill="1" applyBorder="1" applyAlignment="1">
      <alignment horizontal="center" vertical="center"/>
    </xf>
    <xf numFmtId="249" fontId="333" fillId="0" borderId="0" xfId="3626" applyNumberFormat="1" applyFont="1" applyAlignment="1">
      <alignment horizontal="center" vertical="center"/>
    </xf>
    <xf numFmtId="0" fontId="333" fillId="0" borderId="0" xfId="3623" applyFont="1" applyAlignment="1">
      <alignment horizontal="center"/>
    </xf>
    <xf numFmtId="0" fontId="331" fillId="0" borderId="0" xfId="3630" applyFont="1" applyFill="1" applyBorder="1" applyAlignment="1">
      <alignment horizontal="center" vertical="center"/>
    </xf>
    <xf numFmtId="322" fontId="334" fillId="0" borderId="0" xfId="3626" applyNumberFormat="1" applyFont="1" applyAlignment="1">
      <alignment horizontal="center" vertical="center"/>
    </xf>
    <xf numFmtId="0" fontId="333" fillId="0" borderId="0" xfId="3626" applyFont="1" applyAlignment="1">
      <alignment vertical="center"/>
    </xf>
    <xf numFmtId="0" fontId="331" fillId="6" borderId="87" xfId="3626" applyFont="1" applyFill="1" applyBorder="1" applyAlignment="1">
      <alignment vertical="center"/>
    </xf>
    <xf numFmtId="0" fontId="333" fillId="0" borderId="0" xfId="3626" applyFont="1" applyAlignment="1">
      <alignment horizontal="left" vertical="center" indent="1"/>
    </xf>
    <xf numFmtId="0" fontId="333" fillId="60" borderId="0" xfId="3623" applyFont="1" applyFill="1" applyAlignment="1">
      <alignment horizontal="right" vertical="center" wrapText="1" readingOrder="1"/>
    </xf>
    <xf numFmtId="324" fontId="333" fillId="60" borderId="89" xfId="3625" quotePrefix="1" applyNumberFormat="1" applyFont="1" applyFill="1" applyBorder="1" applyAlignment="1">
      <alignment horizontal="center" vertical="center" wrapText="1" readingOrder="1"/>
    </xf>
    <xf numFmtId="322" fontId="333" fillId="60" borderId="90" xfId="3625" applyNumberFormat="1" applyFont="1" applyFill="1" applyBorder="1" applyAlignment="1">
      <alignment vertical="center" wrapText="1" readingOrder="1"/>
    </xf>
    <xf numFmtId="0" fontId="333" fillId="0" borderId="0" xfId="0" applyFont="1" applyAlignment="1">
      <alignment horizontal="center" vertical="center"/>
    </xf>
    <xf numFmtId="249" fontId="333" fillId="0" borderId="0" xfId="3630" applyNumberFormat="1" applyFont="1" applyFill="1" applyBorder="1" applyAlignment="1">
      <alignment horizontal="center" vertical="center"/>
    </xf>
    <xf numFmtId="249" fontId="333" fillId="6" borderId="0" xfId="3630" applyNumberFormat="1" applyFont="1" applyFill="1" applyBorder="1" applyAlignment="1">
      <alignment horizontal="center" vertical="center"/>
    </xf>
    <xf numFmtId="249" fontId="331" fillId="6" borderId="0" xfId="3630" applyNumberFormat="1" applyFont="1" applyFill="1" applyBorder="1" applyAlignment="1">
      <alignment horizontal="center" vertical="center"/>
    </xf>
    <xf numFmtId="322" fontId="333" fillId="60" borderId="92" xfId="3625" applyNumberFormat="1" applyFont="1" applyFill="1" applyBorder="1" applyAlignment="1">
      <alignment vertical="center" wrapText="1" readingOrder="1"/>
    </xf>
    <xf numFmtId="249" fontId="333" fillId="0" borderId="11" xfId="3630" applyNumberFormat="1" applyFont="1" applyFill="1" applyBorder="1" applyAlignment="1">
      <alignment horizontal="center" vertical="center"/>
    </xf>
    <xf numFmtId="166" fontId="17" fillId="7" borderId="0" xfId="0" applyNumberFormat="1" applyFont="1" applyFill="1" applyAlignment="1">
      <alignment horizontal="left"/>
    </xf>
    <xf numFmtId="0" fontId="263" fillId="64" borderId="0" xfId="0" applyFont="1" applyFill="1"/>
    <xf numFmtId="166" fontId="261" fillId="0" borderId="69" xfId="0" applyNumberFormat="1" applyFont="1" applyBorder="1"/>
    <xf numFmtId="166" fontId="0" fillId="0" borderId="69" xfId="0" applyNumberFormat="1" applyBorder="1"/>
    <xf numFmtId="174" fontId="299" fillId="0" borderId="69" xfId="2309" applyNumberFormat="1" applyFont="1" applyFill="1" applyBorder="1"/>
    <xf numFmtId="166" fontId="261" fillId="0" borderId="11" xfId="0" applyNumberFormat="1" applyFont="1" applyBorder="1"/>
    <xf numFmtId="168" fontId="261" fillId="60" borderId="91" xfId="0" applyNumberFormat="1" applyFont="1" applyFill="1" applyBorder="1" applyAlignment="1">
      <alignment horizontal="right"/>
    </xf>
    <xf numFmtId="0" fontId="0" fillId="0" borderId="70" xfId="0" applyBorder="1"/>
    <xf numFmtId="0" fontId="0" fillId="0" borderId="71" xfId="0" applyBorder="1"/>
    <xf numFmtId="0" fontId="0" fillId="0" borderId="68" xfId="0" applyBorder="1"/>
    <xf numFmtId="322" fontId="251" fillId="0" borderId="0" xfId="0" applyNumberFormat="1" applyFont="1"/>
    <xf numFmtId="322" fontId="251" fillId="0" borderId="69" xfId="0" applyNumberFormat="1" applyFont="1" applyBorder="1"/>
    <xf numFmtId="37" fontId="261" fillId="0" borderId="83" xfId="0" applyNumberFormat="1" applyFont="1" applyBorder="1" applyAlignment="1">
      <alignment horizontal="center"/>
    </xf>
    <xf numFmtId="37" fontId="261" fillId="0" borderId="82" xfId="0" applyNumberFormat="1" applyFont="1" applyBorder="1" applyAlignment="1">
      <alignment horizontal="center"/>
    </xf>
    <xf numFmtId="37" fontId="261" fillId="0" borderId="0" xfId="0" applyNumberFormat="1" applyFont="1" applyAlignment="1">
      <alignment horizontal="center"/>
    </xf>
    <xf numFmtId="37" fontId="261" fillId="0" borderId="84" xfId="0" applyNumberFormat="1" applyFont="1" applyBorder="1" applyAlignment="1">
      <alignment horizontal="center"/>
    </xf>
    <xf numFmtId="37" fontId="261" fillId="0" borderId="13" xfId="0" applyNumberFormat="1" applyFont="1" applyBorder="1" applyAlignment="1">
      <alignment horizontal="center"/>
    </xf>
    <xf numFmtId="37" fontId="261" fillId="97" borderId="0" xfId="0" applyNumberFormat="1" applyFont="1" applyFill="1" applyAlignment="1">
      <alignment horizontal="center"/>
    </xf>
    <xf numFmtId="37" fontId="261" fillId="0" borderId="69" xfId="0" applyNumberFormat="1" applyFont="1" applyBorder="1" applyAlignment="1">
      <alignment horizontal="center"/>
    </xf>
    <xf numFmtId="37" fontId="261" fillId="0" borderId="10" xfId="0" applyNumberFormat="1" applyFont="1" applyBorder="1" applyAlignment="1">
      <alignment horizontal="center"/>
    </xf>
    <xf numFmtId="37" fontId="261" fillId="0" borderId="11" xfId="0" applyNumberFormat="1" applyFont="1" applyBorder="1" applyAlignment="1">
      <alignment horizontal="center"/>
    </xf>
    <xf numFmtId="37" fontId="261" fillId="0" borderId="68" xfId="0" applyNumberFormat="1" applyFont="1" applyBorder="1" applyAlignment="1">
      <alignment horizontal="center"/>
    </xf>
    <xf numFmtId="249" fontId="0" fillId="0" borderId="7" xfId="0" applyNumberFormat="1" applyBorder="1" applyAlignment="1">
      <alignment horizontal="center"/>
    </xf>
    <xf numFmtId="249" fontId="0" fillId="0" borderId="8" xfId="0" applyNumberFormat="1" applyBorder="1" applyAlignment="1">
      <alignment horizontal="center"/>
    </xf>
    <xf numFmtId="249" fontId="0" fillId="0" borderId="0" xfId="0" applyNumberFormat="1" applyAlignment="1">
      <alignment horizontal="center"/>
    </xf>
    <xf numFmtId="249" fontId="0" fillId="0" borderId="9" xfId="0" applyNumberFormat="1" applyBorder="1" applyAlignment="1">
      <alignment horizontal="center"/>
    </xf>
    <xf numFmtId="249" fontId="0" fillId="0" borderId="13" xfId="0" applyNumberFormat="1" applyBorder="1" applyAlignment="1">
      <alignment horizontal="center"/>
    </xf>
    <xf numFmtId="249" fontId="0" fillId="8" borderId="0" xfId="0" applyNumberFormat="1" applyFill="1" applyAlignment="1">
      <alignment horizontal="center"/>
    </xf>
    <xf numFmtId="249" fontId="0" fillId="0" borderId="14" xfId="0" applyNumberFormat="1" applyBorder="1" applyAlignment="1">
      <alignment horizontal="center"/>
    </xf>
    <xf numFmtId="249" fontId="0" fillId="0" borderId="10" xfId="0" applyNumberFormat="1" applyBorder="1" applyAlignment="1">
      <alignment horizontal="center"/>
    </xf>
    <xf numFmtId="249" fontId="0" fillId="0" borderId="11" xfId="0" applyNumberFormat="1" applyBorder="1" applyAlignment="1">
      <alignment horizontal="center"/>
    </xf>
    <xf numFmtId="249" fontId="0" fillId="0" borderId="12" xfId="0" applyNumberFormat="1" applyBorder="1" applyAlignment="1">
      <alignment horizontal="center"/>
    </xf>
    <xf numFmtId="10" fontId="0" fillId="8" borderId="0" xfId="0" applyNumberFormat="1" applyFill="1" applyAlignment="1">
      <alignment horizontal="center"/>
    </xf>
    <xf numFmtId="10" fontId="297" fillId="0" borderId="72" xfId="0" applyNumberFormat="1" applyFont="1" applyBorder="1" applyAlignment="1">
      <alignment horizontal="center"/>
    </xf>
    <xf numFmtId="10" fontId="0" fillId="8" borderId="14" xfId="0" applyNumberFormat="1" applyFill="1" applyBorder="1" applyAlignment="1">
      <alignment horizontal="center"/>
    </xf>
    <xf numFmtId="323" fontId="0" fillId="8" borderId="0" xfId="0" applyNumberFormat="1" applyFill="1" applyAlignment="1">
      <alignment horizontal="center"/>
    </xf>
    <xf numFmtId="323" fontId="297" fillId="0" borderId="63" xfId="0" applyNumberFormat="1" applyFont="1" applyBorder="1" applyAlignment="1">
      <alignment horizontal="center"/>
    </xf>
    <xf numFmtId="323" fontId="0" fillId="8" borderId="14" xfId="0" applyNumberFormat="1" applyFill="1" applyBorder="1" applyAlignment="1">
      <alignment horizontal="center"/>
    </xf>
    <xf numFmtId="37" fontId="0" fillId="0" borderId="7" xfId="0" applyNumberFormat="1" applyBorder="1" applyAlignment="1">
      <alignment horizontal="center"/>
    </xf>
    <xf numFmtId="37" fontId="0" fillId="0" borderId="8" xfId="0" applyNumberFormat="1" applyBorder="1" applyAlignment="1">
      <alignment horizontal="center"/>
    </xf>
    <xf numFmtId="37" fontId="0" fillId="0" borderId="9" xfId="0" applyNumberFormat="1" applyBorder="1" applyAlignment="1">
      <alignment horizontal="center"/>
    </xf>
    <xf numFmtId="37" fontId="0" fillId="0" borderId="13" xfId="0" applyNumberFormat="1" applyBorder="1" applyAlignment="1">
      <alignment horizontal="center"/>
    </xf>
    <xf numFmtId="37" fontId="0" fillId="8" borderId="0" xfId="0" applyNumberFormat="1" applyFill="1" applyAlignment="1">
      <alignment horizontal="center"/>
    </xf>
    <xf numFmtId="37" fontId="0" fillId="0" borderId="0" xfId="0" applyNumberFormat="1" applyAlignment="1">
      <alignment horizontal="center"/>
    </xf>
    <xf numFmtId="37" fontId="0" fillId="0" borderId="14" xfId="0" applyNumberFormat="1" applyBorder="1" applyAlignment="1">
      <alignment horizontal="center"/>
    </xf>
    <xf numFmtId="37" fontId="0" fillId="0" borderId="10" xfId="0" applyNumberFormat="1" applyBorder="1" applyAlignment="1">
      <alignment horizontal="center"/>
    </xf>
    <xf numFmtId="37" fontId="0" fillId="0" borderId="11" xfId="0" applyNumberFormat="1" applyBorder="1" applyAlignment="1">
      <alignment horizontal="center"/>
    </xf>
    <xf numFmtId="37" fontId="0" fillId="0" borderId="12" xfId="0" applyNumberFormat="1" applyBorder="1" applyAlignment="1">
      <alignment horizontal="center"/>
    </xf>
    <xf numFmtId="0" fontId="261" fillId="60" borderId="89" xfId="3623" applyFont="1" applyFill="1" applyBorder="1" applyAlignment="1">
      <alignment horizontal="center" vertical="center" wrapText="1" readingOrder="1"/>
    </xf>
    <xf numFmtId="169" fontId="333" fillId="60" borderId="65" xfId="0" applyNumberFormat="1" applyFont="1" applyFill="1" applyBorder="1" applyAlignment="1">
      <alignment horizontal="right"/>
    </xf>
    <xf numFmtId="0" fontId="335" fillId="0" borderId="0" xfId="0" applyFont="1"/>
    <xf numFmtId="0" fontId="336" fillId="0" borderId="0" xfId="0" applyFont="1" applyAlignment="1">
      <alignment horizontal="center"/>
    </xf>
    <xf numFmtId="0" fontId="337" fillId="0" borderId="0" xfId="0" applyFont="1" applyAlignment="1">
      <alignment horizontal="center"/>
    </xf>
    <xf numFmtId="174" fontId="338" fillId="0" borderId="0" xfId="2309" applyNumberFormat="1" applyFont="1" applyAlignment="1">
      <alignment horizontal="center"/>
    </xf>
    <xf numFmtId="0" fontId="339" fillId="0" borderId="0" xfId="0" applyFont="1" applyAlignment="1">
      <alignment horizontal="left" indent="1"/>
    </xf>
    <xf numFmtId="0" fontId="336" fillId="0" borderId="0" xfId="0" applyFont="1"/>
    <xf numFmtId="0" fontId="0" fillId="0" borderId="0" xfId="0" applyAlignment="1">
      <alignment horizontal="left" indent="1"/>
    </xf>
    <xf numFmtId="0" fontId="339" fillId="0" borderId="0" xfId="0" applyFont="1"/>
    <xf numFmtId="166" fontId="263" fillId="64" borderId="0" xfId="0" applyNumberFormat="1" applyFont="1" applyFill="1" applyAlignment="1">
      <alignment horizontal="centerContinuous"/>
    </xf>
    <xf numFmtId="166" fontId="263" fillId="98" borderId="0" xfId="0" applyNumberFormat="1" applyFont="1" applyFill="1" applyAlignment="1">
      <alignment horizontal="centerContinuous"/>
    </xf>
    <xf numFmtId="0" fontId="0" fillId="0" borderId="0" xfId="0" applyAlignment="1">
      <alignment horizontal="left"/>
    </xf>
    <xf numFmtId="249" fontId="337" fillId="0" borderId="0" xfId="0" applyNumberFormat="1" applyFont="1" applyAlignment="1">
      <alignment horizontal="center"/>
    </xf>
    <xf numFmtId="249" fontId="340" fillId="0" borderId="82" xfId="0" applyNumberFormat="1" applyFont="1" applyBorder="1" applyAlignment="1">
      <alignment horizontal="center"/>
    </xf>
    <xf numFmtId="323" fontId="340" fillId="0" borderId="82" xfId="0" applyNumberFormat="1" applyFont="1" applyBorder="1" applyAlignment="1">
      <alignment horizontal="center"/>
    </xf>
    <xf numFmtId="0" fontId="322" fillId="0" borderId="0" xfId="0" applyFont="1" applyAlignment="1">
      <alignment horizontal="left" vertical="center"/>
    </xf>
    <xf numFmtId="249" fontId="261" fillId="0" borderId="0" xfId="1686" applyNumberFormat="1" applyFont="1"/>
    <xf numFmtId="37" fontId="261" fillId="0" borderId="0" xfId="0" applyNumberFormat="1" applyFont="1"/>
    <xf numFmtId="37" fontId="21" fillId="0" borderId="2" xfId="0" applyNumberFormat="1" applyFont="1" applyBorder="1"/>
    <xf numFmtId="322" fontId="251" fillId="0" borderId="11" xfId="2309" applyNumberFormat="1" applyFont="1" applyBorder="1"/>
    <xf numFmtId="322" fontId="327" fillId="0" borderId="11" xfId="0" applyNumberFormat="1" applyFont="1" applyBorder="1" applyAlignment="1">
      <alignment horizontal="center" vertical="center"/>
    </xf>
    <xf numFmtId="166" fontId="341" fillId="80" borderId="1" xfId="0" applyNumberFormat="1" applyFont="1" applyFill="1" applyBorder="1" applyAlignment="1">
      <alignment horizontal="right"/>
    </xf>
    <xf numFmtId="0" fontId="327" fillId="0" borderId="11" xfId="0" applyFont="1" applyBorder="1" applyAlignment="1">
      <alignment horizontal="left" vertical="center"/>
    </xf>
    <xf numFmtId="0" fontId="322" fillId="0" borderId="11" xfId="0" applyFont="1" applyBorder="1" applyAlignment="1">
      <alignment vertical="center"/>
    </xf>
    <xf numFmtId="167" fontId="327" fillId="0" borderId="11" xfId="0" applyNumberFormat="1" applyFont="1" applyBorder="1" applyAlignment="1">
      <alignment horizontal="right" vertical="center"/>
    </xf>
    <xf numFmtId="167" fontId="327" fillId="0" borderId="11" xfId="0" applyNumberFormat="1" applyFont="1" applyBorder="1" applyAlignment="1">
      <alignment horizontal="center" vertical="center"/>
    </xf>
    <xf numFmtId="10" fontId="0" fillId="0" borderId="0" xfId="0" applyNumberFormat="1"/>
    <xf numFmtId="0" fontId="0" fillId="80" borderId="0" xfId="0" applyFill="1"/>
    <xf numFmtId="275" fontId="16" fillId="80" borderId="1" xfId="2" applyNumberFormat="1" applyFont="1" applyFill="1" applyBorder="1" applyAlignment="1">
      <alignment horizontal="right"/>
    </xf>
    <xf numFmtId="17" fontId="20" fillId="0" borderId="0" xfId="0" applyNumberFormat="1" applyFont="1" applyAlignment="1">
      <alignment horizontal="left"/>
    </xf>
    <xf numFmtId="322" fontId="9" fillId="0" borderId="0" xfId="2311" applyNumberFormat="1" applyFont="1"/>
    <xf numFmtId="322" fontId="298" fillId="0" borderId="0" xfId="2311" applyNumberFormat="1" applyFont="1"/>
    <xf numFmtId="39" fontId="14" fillId="0" borderId="0" xfId="0" applyNumberFormat="1" applyFont="1"/>
    <xf numFmtId="322" fontId="9" fillId="104" borderId="1" xfId="2311" applyNumberFormat="1" applyFont="1" applyFill="1" applyBorder="1"/>
    <xf numFmtId="0" fontId="14" fillId="104" borderId="0" xfId="0" applyFont="1" applyFill="1"/>
    <xf numFmtId="166" fontId="261" fillId="104" borderId="2" xfId="0" applyNumberFormat="1" applyFont="1" applyFill="1" applyBorder="1"/>
    <xf numFmtId="174" fontId="16" fillId="104" borderId="73" xfId="0" applyNumberFormat="1" applyFont="1" applyFill="1" applyBorder="1"/>
    <xf numFmtId="323" fontId="16" fillId="104" borderId="73" xfId="2" applyNumberFormat="1" applyFont="1" applyFill="1" applyBorder="1" applyAlignment="1">
      <alignment horizontal="right"/>
    </xf>
    <xf numFmtId="0" fontId="0" fillId="104" borderId="0" xfId="0" applyFill="1"/>
    <xf numFmtId="166" fontId="297" fillId="104" borderId="0" xfId="0" applyNumberFormat="1" applyFont="1" applyFill="1"/>
    <xf numFmtId="166" fontId="297" fillId="104" borderId="69" xfId="0" applyNumberFormat="1" applyFont="1" applyFill="1" applyBorder="1"/>
    <xf numFmtId="174" fontId="299" fillId="104" borderId="0" xfId="2309" applyNumberFormat="1" applyFont="1" applyFill="1" applyBorder="1"/>
    <xf numFmtId="167" fontId="16" fillId="104" borderId="1" xfId="0" applyNumberFormat="1" applyFont="1" applyFill="1" applyBorder="1"/>
    <xf numFmtId="167" fontId="8" fillId="104" borderId="1" xfId="0" applyNumberFormat="1" applyFont="1" applyFill="1" applyBorder="1"/>
    <xf numFmtId="10" fontId="8" fillId="104" borderId="1" xfId="0" applyNumberFormat="1" applyFont="1" applyFill="1" applyBorder="1"/>
    <xf numFmtId="323" fontId="16" fillId="104" borderId="1" xfId="0" applyNumberFormat="1" applyFont="1" applyFill="1" applyBorder="1"/>
    <xf numFmtId="166" fontId="297" fillId="104" borderId="2" xfId="0" applyNumberFormat="1" applyFont="1" applyFill="1" applyBorder="1"/>
    <xf numFmtId="322" fontId="9" fillId="104" borderId="0" xfId="0" applyNumberFormat="1" applyFont="1" applyFill="1" applyAlignment="1">
      <alignment horizontal="right"/>
    </xf>
    <xf numFmtId="167" fontId="251" fillId="105" borderId="0" xfId="0" applyNumberFormat="1" applyFont="1" applyFill="1"/>
    <xf numFmtId="0" fontId="251" fillId="106" borderId="0" xfId="0" applyFont="1" applyFill="1"/>
    <xf numFmtId="322" fontId="251" fillId="106" borderId="0" xfId="0" applyNumberFormat="1" applyFont="1" applyFill="1"/>
    <xf numFmtId="322" fontId="251" fillId="106" borderId="69" xfId="0" applyNumberFormat="1" applyFont="1" applyFill="1" applyBorder="1"/>
    <xf numFmtId="167" fontId="251" fillId="106" borderId="0" xfId="0" applyNumberFormat="1" applyFont="1" applyFill="1"/>
    <xf numFmtId="0" fontId="0" fillId="106" borderId="0" xfId="0" applyFill="1"/>
    <xf numFmtId="167" fontId="251" fillId="106" borderId="69" xfId="0" applyNumberFormat="1" applyFont="1" applyFill="1" applyBorder="1"/>
    <xf numFmtId="167" fontId="251" fillId="105" borderId="69" xfId="0" applyNumberFormat="1" applyFont="1" applyFill="1" applyBorder="1"/>
    <xf numFmtId="166" fontId="0" fillId="105" borderId="0" xfId="0" applyNumberFormat="1" applyFill="1"/>
    <xf numFmtId="335" fontId="6" fillId="0" borderId="0" xfId="3809" applyNumberFormat="1" applyFont="1" applyFill="1" applyBorder="1" applyAlignment="1">
      <alignment horizontal="left"/>
    </xf>
    <xf numFmtId="0" fontId="9" fillId="0" borderId="0" xfId="0" applyFont="1"/>
    <xf numFmtId="167" fontId="9" fillId="0" borderId="0" xfId="0" applyNumberFormat="1" applyFont="1"/>
    <xf numFmtId="166" fontId="261" fillId="105" borderId="0" xfId="0" applyNumberFormat="1" applyFont="1" applyFill="1"/>
    <xf numFmtId="166" fontId="0" fillId="105" borderId="2" xfId="0" applyNumberFormat="1" applyFill="1" applyBorder="1"/>
    <xf numFmtId="0" fontId="0" fillId="105" borderId="0" xfId="0" applyFill="1"/>
    <xf numFmtId="167" fontId="251" fillId="106" borderId="0" xfId="0" applyNumberFormat="1" applyFont="1" applyFill="1" applyAlignment="1">
      <alignment horizontal="right"/>
    </xf>
    <xf numFmtId="4" fontId="264" fillId="7" borderId="16" xfId="0" applyNumberFormat="1" applyFont="1" applyFill="1" applyBorder="1" applyAlignment="1">
      <alignment horizontal="left" vertical="center"/>
    </xf>
    <xf numFmtId="4" fontId="18" fillId="7" borderId="0" xfId="0" applyNumberFormat="1" applyFont="1" applyFill="1" applyAlignment="1">
      <alignment horizontal="left" vertical="center"/>
    </xf>
    <xf numFmtId="4" fontId="18" fillId="7" borderId="16" xfId="0" applyNumberFormat="1" applyFont="1" applyFill="1" applyBorder="1" applyAlignment="1">
      <alignment horizontal="left" vertical="center"/>
    </xf>
    <xf numFmtId="0" fontId="26" fillId="0" borderId="22" xfId="0" applyFont="1" applyBorder="1" applyAlignment="1">
      <alignment horizontal="center" textRotation="90"/>
    </xf>
    <xf numFmtId="0" fontId="0" fillId="10" borderId="11" xfId="0" applyFill="1" applyBorder="1" applyAlignment="1">
      <alignment horizontal="center"/>
    </xf>
    <xf numFmtId="0" fontId="261" fillId="60" borderId="0" xfId="3623" applyFont="1" applyFill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2" fillId="60" borderId="0" xfId="3623" applyFont="1" applyFill="1" applyAlignment="1">
      <alignment horizontal="center" vertical="center" textRotation="90" wrapText="1" readingOrder="1"/>
    </xf>
    <xf numFmtId="0" fontId="262" fillId="60" borderId="11" xfId="3623" applyFont="1" applyFill="1" applyBorder="1" applyAlignment="1">
      <alignment horizontal="center" vertical="center" textRotation="90" wrapText="1" readingOrder="1"/>
    </xf>
    <xf numFmtId="15" fontId="262" fillId="60" borderId="0" xfId="3623" applyNumberFormat="1" applyFont="1" applyFill="1" applyAlignment="1">
      <alignment horizontal="center" vertical="center" wrapText="1" readingOrder="1"/>
    </xf>
  </cellXfs>
  <cellStyles count="3810">
    <cellStyle name="_x0010_" xfId="3627" xr:uid="{00000000-0005-0000-0000-000000000000}"/>
    <cellStyle name="_%(SignOnly)" xfId="48" xr:uid="{00000000-0005-0000-0000-000050000000}"/>
    <cellStyle name="_%(SignOnly)_EXPN" xfId="49" xr:uid="{00000000-0005-0000-0000-000051000000}"/>
    <cellStyle name="_%(SignSpaceOnly)" xfId="50" xr:uid="{00000000-0005-0000-0000-000052000000}"/>
    <cellStyle name="_%(SignSpaceOnly)_EXPN" xfId="51" xr:uid="{00000000-0005-0000-0000-000053000000}"/>
    <cellStyle name="_2009 04 Capex reporting Exec pack draft" xfId="1788" xr:uid="{00000000-0005-0000-0000-000054000000}"/>
    <cellStyle name="_2009 04 Capex reporting Exec pack draft_Covenants_draft_260412" xfId="1789" xr:uid="{00000000-0005-0000-0000-000055000000}"/>
    <cellStyle name="_2009 04 Capex reporting Exec pack draft_Head Office Pack - Draft 1" xfId="1790" xr:uid="{00000000-0005-0000-0000-000056000000}"/>
    <cellStyle name="_2009 04 Capex reporting Exec pack draft_Head Office Pack - Draft 4" xfId="1791" xr:uid="{00000000-0005-0000-0000-000057000000}"/>
    <cellStyle name="_2009 04 Capex reporting Exec pack draft_Property Budget 2011" xfId="1792" xr:uid="{00000000-0005-0000-0000-000058000000}"/>
    <cellStyle name="_2009 04 Capex reporting Exec pack draft_Property Budget 2011_Covenants_draft_260412" xfId="1793" xr:uid="{00000000-0005-0000-0000-000059000000}"/>
    <cellStyle name="_2009 04 Capex reporting Exec pack draft_Property Budget 2011_Marketing &amp; Product" xfId="1794" xr:uid="{00000000-0005-0000-0000-00005A000000}"/>
    <cellStyle name="_2009 04 Capex reporting Exec pack draft_Sheet1" xfId="1795" xr:uid="{00000000-0005-0000-0000-00005B000000}"/>
    <cellStyle name="_2009 05 Capex reporting EXEC PACK draft v2" xfId="1796" xr:uid="{00000000-0005-0000-0000-00005C000000}"/>
    <cellStyle name="_2009 05 Capex reporting EXEC PACK draft v2_Covenants_draft_260412" xfId="1797" xr:uid="{00000000-0005-0000-0000-00005D000000}"/>
    <cellStyle name="_2009 05 Capex reporting EXEC PACK draft v2_Head Office Pack - Draft 1" xfId="1798" xr:uid="{00000000-0005-0000-0000-00005E000000}"/>
    <cellStyle name="_2009 05 Capex reporting EXEC PACK draft v2_Head Office Pack - Draft 4" xfId="1799" xr:uid="{00000000-0005-0000-0000-00005F000000}"/>
    <cellStyle name="_2009 05 Capex reporting EXEC PACK draft v2_Property Budget 2011" xfId="1800" xr:uid="{00000000-0005-0000-0000-000060000000}"/>
    <cellStyle name="_2009 05 Capex reporting EXEC PACK draft v2_Property Budget 2011_Covenants_draft_260412" xfId="1801" xr:uid="{00000000-0005-0000-0000-000061000000}"/>
    <cellStyle name="_2009 05 Capex reporting EXEC PACK draft v2_Property Budget 2011_Marketing &amp; Product" xfId="1802" xr:uid="{00000000-0005-0000-0000-000062000000}"/>
    <cellStyle name="_2009 05 Capex reporting EXEC PACK draft v2_Sheet1" xfId="1803" xr:uid="{00000000-0005-0000-0000-000063000000}"/>
    <cellStyle name="_2009 P3 Capex report v1" xfId="1804" xr:uid="{00000000-0005-0000-0000-000064000000}"/>
    <cellStyle name="_2009 P3 Capex report v1_Covenants_draft_260412" xfId="1805" xr:uid="{00000000-0005-0000-0000-000065000000}"/>
    <cellStyle name="_2009 P3 Capex report v1_Head Office Pack - Draft 1" xfId="1806" xr:uid="{00000000-0005-0000-0000-000066000000}"/>
    <cellStyle name="_2009 P3 Capex report v1_Head Office Pack - Draft 4" xfId="1807" xr:uid="{00000000-0005-0000-0000-000067000000}"/>
    <cellStyle name="_2009 P3 Capex report v1_Property Budget 2011" xfId="1808" xr:uid="{00000000-0005-0000-0000-000068000000}"/>
    <cellStyle name="_2009 P3 Capex report v1_Property Budget 2011_Covenants_draft_260412" xfId="1809" xr:uid="{00000000-0005-0000-0000-000069000000}"/>
    <cellStyle name="_2009 P3 Capex report v1_Property Budget 2011_Marketing &amp; Product" xfId="1810" xr:uid="{00000000-0005-0000-0000-00006A000000}"/>
    <cellStyle name="_2009 P3 Capex report v1_Sheet1" xfId="1811" xr:uid="{00000000-0005-0000-0000-00006B000000}"/>
    <cellStyle name="_2010 Budget - Property PPM" xfId="1812" xr:uid="{00000000-0005-0000-0000-00006C000000}"/>
    <cellStyle name="_2010 Budget - Property PPM_Covenants_draft_260412" xfId="1813" xr:uid="{00000000-0005-0000-0000-00006D000000}"/>
    <cellStyle name="_2010 Budget - Property PPM_Head Office Pack - Draft 1" xfId="1814" xr:uid="{00000000-0005-0000-0000-00006E000000}"/>
    <cellStyle name="_2010 Budget - Property PPM_Head Office Pack - Draft 4" xfId="1815" xr:uid="{00000000-0005-0000-0000-00006F000000}"/>
    <cellStyle name="_2010 Budget - Property PPM_Sheet1" xfId="1816" xr:uid="{00000000-0005-0000-0000-000070000000}"/>
    <cellStyle name="_2010 Rent Budget" xfId="1817" xr:uid="{00000000-0005-0000-0000-000071000000}"/>
    <cellStyle name="_2010 Rent Budget_Covenants_draft_260412" xfId="1818" xr:uid="{00000000-0005-0000-0000-000072000000}"/>
    <cellStyle name="_2010 Rent Budget_Head Office Pack - Draft 1" xfId="1819" xr:uid="{00000000-0005-0000-0000-000073000000}"/>
    <cellStyle name="_2010 Rent Budget_Head Office Pack - Draft 4" xfId="1820" xr:uid="{00000000-0005-0000-0000-000074000000}"/>
    <cellStyle name="_2010 Rent Budget_Sheet1" xfId="1821" xr:uid="{00000000-0005-0000-0000-000075000000}"/>
    <cellStyle name="_57 Project Fly (2)" xfId="52" xr:uid="{00000000-0005-0000-0000-000076000000}"/>
    <cellStyle name="_Aberdeen" xfId="1822" xr:uid="{00000000-0005-0000-0000-000077000000}"/>
    <cellStyle name="_Accruals" xfId="1823" xr:uid="{00000000-0005-0000-0000-000078000000}"/>
    <cellStyle name="_Accruals_Covenants_draft_260412" xfId="1824" xr:uid="{00000000-0005-0000-0000-000079000000}"/>
    <cellStyle name="_Accruals_Head Office Pack - Draft 1" xfId="1825" xr:uid="{00000000-0005-0000-0000-00007A000000}"/>
    <cellStyle name="_Accruals_Head Office Pack - Draft 4" xfId="1826" xr:uid="{00000000-0005-0000-0000-00007B000000}"/>
    <cellStyle name="_Accruals_Property Budget 2011" xfId="1827" xr:uid="{00000000-0005-0000-0000-00007C000000}"/>
    <cellStyle name="_Accruals_Property Budget 2011_Covenants_draft_260412" xfId="1828" xr:uid="{00000000-0005-0000-0000-00007D000000}"/>
    <cellStyle name="_Accruals_Property Budget 2011_Marketing &amp; Product" xfId="1829" xr:uid="{00000000-0005-0000-0000-00007E000000}"/>
    <cellStyle name="_Accruals_Sheet1" xfId="1830" xr:uid="{00000000-0005-0000-0000-00007F000000}"/>
    <cellStyle name="_Benchmarking - generic sheet" xfId="1831" xr:uid="{00000000-0005-0000-0000-000080000000}"/>
    <cellStyle name="_Benchmarking - generic sheet_Covenants_draft_260412" xfId="1832" xr:uid="{00000000-0005-0000-0000-000081000000}"/>
    <cellStyle name="_Benchmarking - generic sheet_Head Office Pack - Draft 1" xfId="1833" xr:uid="{00000000-0005-0000-0000-000082000000}"/>
    <cellStyle name="_Benchmarking - generic sheet_Head Office Pack - Draft 4" xfId="1834" xr:uid="{00000000-0005-0000-0000-000083000000}"/>
    <cellStyle name="_Benchmarking - generic sheet_Property Budget 2011" xfId="1835" xr:uid="{00000000-0005-0000-0000-000084000000}"/>
    <cellStyle name="_Benchmarking - generic sheet_Property Budget 2011_Covenants_draft_260412" xfId="1836" xr:uid="{00000000-0005-0000-0000-000085000000}"/>
    <cellStyle name="_Benchmarking - generic sheet_Property Budget 2011_Marketing &amp; Product" xfId="1837" xr:uid="{00000000-0005-0000-0000-000086000000}"/>
    <cellStyle name="_Benchmarking - generic sheet_Sheet1" xfId="1838" xr:uid="{00000000-0005-0000-0000-000087000000}"/>
    <cellStyle name="_Blank LBO Model v15" xfId="53" xr:uid="{00000000-0005-0000-0000-000088000000}"/>
    <cellStyle name="_Book2" xfId="54" xr:uid="{00000000-0005-0000-0000-000089000000}"/>
    <cellStyle name="_Book2_Covenants_draft_260412" xfId="1839" xr:uid="{00000000-0005-0000-0000-00008A000000}"/>
    <cellStyle name="_Book2_Head Office Pack - Draft 1" xfId="1840" xr:uid="{00000000-0005-0000-0000-00008B000000}"/>
    <cellStyle name="_Book2_Head Office Pack - Draft 4" xfId="1841" xr:uid="{00000000-0005-0000-0000-00008C000000}"/>
    <cellStyle name="_Book2_Property Budget 2011" xfId="1842" xr:uid="{00000000-0005-0000-0000-00008D000000}"/>
    <cellStyle name="_Book2_Property Budget 2011_Covenants_draft_260412" xfId="1843" xr:uid="{00000000-0005-0000-0000-00008E000000}"/>
    <cellStyle name="_Book2_Property Budget 2011_Marketing &amp; Product" xfId="1844" xr:uid="{00000000-0005-0000-0000-00008F000000}"/>
    <cellStyle name="_Book2_Sheet1" xfId="1845" xr:uid="{00000000-0005-0000-0000-000090000000}"/>
    <cellStyle name="_Book3" xfId="55" xr:uid="{00000000-0005-0000-0000-000091000000}"/>
    <cellStyle name="_BTI Financial forecasts" xfId="56" xr:uid="{00000000-0005-0000-0000-000092000000}"/>
    <cellStyle name="_Cairo LBO model - Sept 06" xfId="57" xr:uid="{00000000-0005-0000-0000-000093000000}"/>
    <cellStyle name="_Capex" xfId="1846" xr:uid="{00000000-0005-0000-0000-000094000000}"/>
    <cellStyle name="_Capex_Book2" xfId="1847" xr:uid="{00000000-0005-0000-0000-000095000000}"/>
    <cellStyle name="_Capex_Covenants_draft_260412" xfId="1848" xr:uid="{00000000-0005-0000-0000-000096000000}"/>
    <cellStyle name="_Capex_DRAFT 11" xfId="1849" xr:uid="{00000000-0005-0000-0000-000097000000}"/>
    <cellStyle name="_Capex_DRAFT 11_Covenants_draft_260412" xfId="1850" xr:uid="{00000000-0005-0000-0000-000098000000}"/>
    <cellStyle name="_Capex_DRAFT 11_Marketing &amp; Product" xfId="1851" xr:uid="{00000000-0005-0000-0000-000099000000}"/>
    <cellStyle name="_Capex_Head Office Pack - Draft 1" xfId="1852" xr:uid="{00000000-0005-0000-0000-00009A000000}"/>
    <cellStyle name="_Capex_Head Office Pack - Draft 4" xfId="1853" xr:uid="{00000000-0005-0000-0000-00009B000000}"/>
    <cellStyle name="_Capex_Internal" xfId="1854" xr:uid="{00000000-0005-0000-0000-00009C000000}"/>
    <cellStyle name="_Capex_Internal 1" xfId="1855" xr:uid="{00000000-0005-0000-0000-00009D000000}"/>
    <cellStyle name="_Capex_Internal 1_Projections Pack" xfId="1856" xr:uid="{00000000-0005-0000-0000-00009E000000}"/>
    <cellStyle name="_Capex_Internal 1_Projections Pack (TM)" xfId="1857" xr:uid="{00000000-0005-0000-0000-00009F000000}"/>
    <cellStyle name="_Capex_Internal 1_Quasi Rent Illustration" xfId="1858" xr:uid="{00000000-0005-0000-0000-0000A0000000}"/>
    <cellStyle name="_Capex_Internal_Projections Pack" xfId="1859" xr:uid="{00000000-0005-0000-0000-0000A1000000}"/>
    <cellStyle name="_Capex_Internal_Projections Pack (TM)" xfId="1860" xr:uid="{00000000-0005-0000-0000-0000A2000000}"/>
    <cellStyle name="_Capex_Internal_Quasi Rent Illustration" xfId="1861" xr:uid="{00000000-0005-0000-0000-0000A3000000}"/>
    <cellStyle name="_Capex_IT Budget 2011" xfId="1862" xr:uid="{00000000-0005-0000-0000-0000A4000000}"/>
    <cellStyle name="_Capex_IT Budget Master 2011 - Draft V2 1 (2)" xfId="1863" xr:uid="{00000000-0005-0000-0000-0000A5000000}"/>
    <cellStyle name="_Capex_Net Gain Review Pack - 28th Sept" xfId="1864" xr:uid="{00000000-0005-0000-0000-0000A6000000}"/>
    <cellStyle name="_Capex_PAR overlay" xfId="1865" xr:uid="{00000000-0005-0000-0000-0000A7000000}"/>
    <cellStyle name="_Capex_PAR overlay_Projections Pack" xfId="1866" xr:uid="{00000000-0005-0000-0000-0000A8000000}"/>
    <cellStyle name="_Capex_PAR overlay_Projections Pack (TM)" xfId="1867" xr:uid="{00000000-0005-0000-0000-0000A9000000}"/>
    <cellStyle name="_Capex_PAR overlay_Quasi Rent Illustration" xfId="1868" xr:uid="{00000000-0005-0000-0000-0000AA000000}"/>
    <cellStyle name="_Capex_Property Budget 2011" xfId="1869" xr:uid="{00000000-0005-0000-0000-0000AB000000}"/>
    <cellStyle name="_Capex_Property Budget 2011_Covenants_draft_260412" xfId="1870" xr:uid="{00000000-0005-0000-0000-0000AC000000}"/>
    <cellStyle name="_Capex_Property Budget 2011_Marketing &amp; Product" xfId="1871" xr:uid="{00000000-0005-0000-0000-0000AD000000}"/>
    <cellStyle name="_Capex_Sceanrio 2 Update - Dec 2nd" xfId="1872" xr:uid="{00000000-0005-0000-0000-0000AE000000}"/>
    <cellStyle name="_Capex_Sceanrio 2 Update - Dec 2nd_Projections Pack" xfId="1873" xr:uid="{00000000-0005-0000-0000-0000AF000000}"/>
    <cellStyle name="_Capex_Sceanrio 2 Update - Dec 2nd_Projections Pack (TM)" xfId="1874" xr:uid="{00000000-0005-0000-0000-0000B0000000}"/>
    <cellStyle name="_Capex_Sceanrio 2 Update - Dec 2nd_Quasi Rent Illustration" xfId="1875" xr:uid="{00000000-0005-0000-0000-0000B1000000}"/>
    <cellStyle name="_Capex_Sheet1" xfId="1876" xr:uid="{00000000-0005-0000-0000-0000B2000000}"/>
    <cellStyle name="_Capex_YLC" xfId="1877" xr:uid="{00000000-0005-0000-0000-0000B3000000}"/>
    <cellStyle name="_Causal" xfId="1878" xr:uid="{00000000-0005-0000-0000-0000B4000000}"/>
    <cellStyle name="_Causal_Book2" xfId="1879" xr:uid="{00000000-0005-0000-0000-0000B5000000}"/>
    <cellStyle name="_Causal_Covenants_draft_260412" xfId="1880" xr:uid="{00000000-0005-0000-0000-0000B6000000}"/>
    <cellStyle name="_Causal_Internal" xfId="1881" xr:uid="{00000000-0005-0000-0000-0000B7000000}"/>
    <cellStyle name="_Causal_Internal 1" xfId="1882" xr:uid="{00000000-0005-0000-0000-0000B8000000}"/>
    <cellStyle name="_Causal_Internal 1_Projections Pack" xfId="1883" xr:uid="{00000000-0005-0000-0000-0000B9000000}"/>
    <cellStyle name="_Causal_Internal 1_Projections Pack (TM)" xfId="1884" xr:uid="{00000000-0005-0000-0000-0000BA000000}"/>
    <cellStyle name="_Causal_Internal 1_Quasi Rent Illustration" xfId="1885" xr:uid="{00000000-0005-0000-0000-0000BB000000}"/>
    <cellStyle name="_Causal_Internal_Projections Pack" xfId="1886" xr:uid="{00000000-0005-0000-0000-0000BC000000}"/>
    <cellStyle name="_Causal_Internal_Projections Pack (TM)" xfId="1887" xr:uid="{00000000-0005-0000-0000-0000BD000000}"/>
    <cellStyle name="_Causal_Internal_Quasi Rent Illustration" xfId="1888" xr:uid="{00000000-0005-0000-0000-0000BE000000}"/>
    <cellStyle name="_Causal_Marketing &amp; Product" xfId="1889" xr:uid="{00000000-0005-0000-0000-0000BF000000}"/>
    <cellStyle name="_Causal_Net Gain Review Pack - 28th Sept" xfId="1890" xr:uid="{00000000-0005-0000-0000-0000C0000000}"/>
    <cellStyle name="_Causal_PAR overlay" xfId="1891" xr:uid="{00000000-0005-0000-0000-0000C1000000}"/>
    <cellStyle name="_Causal_PAR overlay_Projections Pack" xfId="1892" xr:uid="{00000000-0005-0000-0000-0000C2000000}"/>
    <cellStyle name="_Causal_PAR overlay_Projections Pack (TM)" xfId="1893" xr:uid="{00000000-0005-0000-0000-0000C3000000}"/>
    <cellStyle name="_Causal_PAR overlay_Quasi Rent Illustration" xfId="1894" xr:uid="{00000000-0005-0000-0000-0000C4000000}"/>
    <cellStyle name="_Causal_Sceanrio 2 Update - Dec 2nd" xfId="1895" xr:uid="{00000000-0005-0000-0000-0000C5000000}"/>
    <cellStyle name="_Causal_Sceanrio 2 Update - Dec 2nd_Projections Pack" xfId="1896" xr:uid="{00000000-0005-0000-0000-0000C6000000}"/>
    <cellStyle name="_Causal_Sceanrio 2 Update - Dec 2nd_Projections Pack (TM)" xfId="1897" xr:uid="{00000000-0005-0000-0000-0000C7000000}"/>
    <cellStyle name="_Causal_Sceanrio 2 Update - Dec 2nd_Quasi Rent Illustration" xfId="1898" xr:uid="{00000000-0005-0000-0000-0000C8000000}"/>
    <cellStyle name="_Causal_Sheet1" xfId="1899" xr:uid="{00000000-0005-0000-0000-0000C9000000}"/>
    <cellStyle name="_Causal_YLC" xfId="1900" xr:uid="{00000000-0005-0000-0000-0000CA000000}"/>
    <cellStyle name="_ClearFormat 4" xfId="3626" xr:uid="{00000000-0005-0000-0000-0000CB000000}"/>
    <cellStyle name="_Club summary_v06_140507" xfId="1901" xr:uid="{00000000-0005-0000-0000-0000CC000000}"/>
    <cellStyle name="_Club summary_v06_140507_Book2" xfId="1902" xr:uid="{00000000-0005-0000-0000-0000CD000000}"/>
    <cellStyle name="_Club summary_v06_140507_Covenants_draft_260412" xfId="1903" xr:uid="{00000000-0005-0000-0000-0000CE000000}"/>
    <cellStyle name="_Club summary_v06_140507_DRAFT 11" xfId="1904" xr:uid="{00000000-0005-0000-0000-0000CF000000}"/>
    <cellStyle name="_Club summary_v06_140507_DRAFT 11_Covenants_draft_260412" xfId="1905" xr:uid="{00000000-0005-0000-0000-0000D0000000}"/>
    <cellStyle name="_Club summary_v06_140507_DRAFT 11_Marketing &amp; Product" xfId="1906" xr:uid="{00000000-0005-0000-0000-0000D1000000}"/>
    <cellStyle name="_Club summary_v06_140507_Head Office Pack - Draft 1" xfId="1907" xr:uid="{00000000-0005-0000-0000-0000D2000000}"/>
    <cellStyle name="_Club summary_v06_140507_Head Office Pack - Draft 4" xfId="1908" xr:uid="{00000000-0005-0000-0000-0000D3000000}"/>
    <cellStyle name="_Club summary_v06_140507_Internal" xfId="1909" xr:uid="{00000000-0005-0000-0000-0000D4000000}"/>
    <cellStyle name="_Club summary_v06_140507_Internal 1" xfId="1910" xr:uid="{00000000-0005-0000-0000-0000D5000000}"/>
    <cellStyle name="_Club summary_v06_140507_Internal 1_Projections Pack" xfId="1911" xr:uid="{00000000-0005-0000-0000-0000D6000000}"/>
    <cellStyle name="_Club summary_v06_140507_Internal 1_Projections Pack (TM)" xfId="1912" xr:uid="{00000000-0005-0000-0000-0000D7000000}"/>
    <cellStyle name="_Club summary_v06_140507_Internal 1_Quasi Rent Illustration" xfId="1913" xr:uid="{00000000-0005-0000-0000-0000D8000000}"/>
    <cellStyle name="_Club summary_v06_140507_Internal_Projections Pack" xfId="1914" xr:uid="{00000000-0005-0000-0000-0000D9000000}"/>
    <cellStyle name="_Club summary_v06_140507_Internal_Projections Pack (TM)" xfId="1915" xr:uid="{00000000-0005-0000-0000-0000DA000000}"/>
    <cellStyle name="_Club summary_v06_140507_Internal_Quasi Rent Illustration" xfId="1916" xr:uid="{00000000-0005-0000-0000-0000DB000000}"/>
    <cellStyle name="_Club summary_v06_140507_IT Budget 2011" xfId="1917" xr:uid="{00000000-0005-0000-0000-0000DC000000}"/>
    <cellStyle name="_Club summary_v06_140507_IT Budget Master 2011 - Draft V2 1 (2)" xfId="1918" xr:uid="{00000000-0005-0000-0000-0000DD000000}"/>
    <cellStyle name="_Club summary_v06_140507_Net Gain Review Pack - 28th Sept" xfId="1919" xr:uid="{00000000-0005-0000-0000-0000DE000000}"/>
    <cellStyle name="_Club summary_v06_140507_PAR overlay" xfId="1920" xr:uid="{00000000-0005-0000-0000-0000DF000000}"/>
    <cellStyle name="_Club summary_v06_140507_PAR overlay_Projections Pack" xfId="1921" xr:uid="{00000000-0005-0000-0000-0000E0000000}"/>
    <cellStyle name="_Club summary_v06_140507_PAR overlay_Projections Pack (TM)" xfId="1922" xr:uid="{00000000-0005-0000-0000-0000E1000000}"/>
    <cellStyle name="_Club summary_v06_140507_PAR overlay_Quasi Rent Illustration" xfId="1923" xr:uid="{00000000-0005-0000-0000-0000E2000000}"/>
    <cellStyle name="_Club summary_v06_140507_Property Budget 2011" xfId="1924" xr:uid="{00000000-0005-0000-0000-0000E3000000}"/>
    <cellStyle name="_Club summary_v06_140507_Property Budget 2011_Covenants_draft_260412" xfId="1925" xr:uid="{00000000-0005-0000-0000-0000E4000000}"/>
    <cellStyle name="_Club summary_v06_140507_Property Budget 2011_Marketing &amp; Product" xfId="1926" xr:uid="{00000000-0005-0000-0000-0000E5000000}"/>
    <cellStyle name="_Club summary_v06_140507_Sceanrio 2 Update - Dec 2nd" xfId="1927" xr:uid="{00000000-0005-0000-0000-0000E6000000}"/>
    <cellStyle name="_Club summary_v06_140507_Sceanrio 2 Update - Dec 2nd_Projections Pack" xfId="1928" xr:uid="{00000000-0005-0000-0000-0000E7000000}"/>
    <cellStyle name="_Club summary_v06_140507_Sceanrio 2 Update - Dec 2nd_Projections Pack (TM)" xfId="1929" xr:uid="{00000000-0005-0000-0000-0000E8000000}"/>
    <cellStyle name="_Club summary_v06_140507_Sceanrio 2 Update - Dec 2nd_Quasi Rent Illustration" xfId="1930" xr:uid="{00000000-0005-0000-0000-0000E9000000}"/>
    <cellStyle name="_Club summary_v06_140507_Sheet1" xfId="1931" xr:uid="{00000000-0005-0000-0000-0000EA000000}"/>
    <cellStyle name="_Club summary_v06_140507_YLC" xfId="1932" xr:uid="{00000000-0005-0000-0000-0000EB000000}"/>
    <cellStyle name="_Column1" xfId="58" xr:uid="{00000000-0005-0000-0000-0000EC000000}"/>
    <cellStyle name="_Column1_Balance Sheet_restl. Eurowährungsl._Gruppe" xfId="59" xr:uid="{00000000-0005-0000-0000-0000ED000000}"/>
    <cellStyle name="_Column1_Bank case Viking (sent to JPM 10 Nov 05)" xfId="60" xr:uid="{00000000-0005-0000-0000-0000EE000000}"/>
    <cellStyle name="_Column1_Banks (2)" xfId="61" xr:uid="{00000000-0005-0000-0000-0000EF000000}"/>
    <cellStyle name="_Column1_Book2" xfId="1933" xr:uid="{00000000-0005-0000-0000-0000F0000000}"/>
    <cellStyle name="_Column1_Covenants_draft_260412" xfId="1934" xr:uid="{00000000-0005-0000-0000-0000F1000000}"/>
    <cellStyle name="_Column1_DRAFT 11" xfId="1935" xr:uid="{00000000-0005-0000-0000-0000F2000000}"/>
    <cellStyle name="_Column1_DRAFT 11_Covenants_draft_260412" xfId="1936" xr:uid="{00000000-0005-0000-0000-0000F3000000}"/>
    <cellStyle name="_Column1_DRAFT 11_Marketing &amp; Product" xfId="1937" xr:uid="{00000000-0005-0000-0000-0000F4000000}"/>
    <cellStyle name="_Column1_EBITDA-Recon P&amp;L OPSP04-08_GX" xfId="62" xr:uid="{00000000-0005-0000-0000-0000F5000000}"/>
    <cellStyle name="_Column1_Feeder" xfId="63" xr:uid="{00000000-0005-0000-0000-0000F6000000}"/>
    <cellStyle name="_Column1_Financial ratios_Euroland" xfId="64" xr:uid="{00000000-0005-0000-0000-0000F7000000}"/>
    <cellStyle name="_Column1_GX evaluation without pensions" xfId="65" xr:uid="{00000000-0005-0000-0000-0000F8000000}"/>
    <cellStyle name="_Column1_GX OPSP0509 incl. Zurückdrehen Subsidies NVM" xfId="66" xr:uid="{00000000-0005-0000-0000-0000F9000000}"/>
    <cellStyle name="_Column1_GX Plan" xfId="67" xr:uid="{00000000-0005-0000-0000-0000FA000000}"/>
    <cellStyle name="_Column1_Head Office Pack - Draft 1" xfId="1938" xr:uid="{00000000-0005-0000-0000-0000FB000000}"/>
    <cellStyle name="_Column1_Head Office Pack - Draft 4" xfId="1939" xr:uid="{00000000-0005-0000-0000-0000FC000000}"/>
    <cellStyle name="_Column1_Headcount" xfId="68" xr:uid="{00000000-0005-0000-0000-0000FD000000}"/>
    <cellStyle name="_Column1_Headcount_Monthly report" xfId="69" xr:uid="{00000000-0005-0000-0000-0000FE000000}"/>
    <cellStyle name="_Column1_Internal" xfId="1940" xr:uid="{00000000-0005-0000-0000-0000FF000000}"/>
    <cellStyle name="_Column1_Internal 1" xfId="1941" xr:uid="{00000000-0005-0000-0000-000000010000}"/>
    <cellStyle name="_Column1_Internal 1_Projections Pack" xfId="1942" xr:uid="{00000000-0005-0000-0000-000001010000}"/>
    <cellStyle name="_Column1_Internal 1_Projections Pack (TM)" xfId="1943" xr:uid="{00000000-0005-0000-0000-000002010000}"/>
    <cellStyle name="_Column1_Internal 1_Quasi Rent Illustration" xfId="1944" xr:uid="{00000000-0005-0000-0000-000003010000}"/>
    <cellStyle name="_Column1_Internal_Projections Pack" xfId="1945" xr:uid="{00000000-0005-0000-0000-000004010000}"/>
    <cellStyle name="_Column1_Internal_Projections Pack (TM)" xfId="1946" xr:uid="{00000000-0005-0000-0000-000005010000}"/>
    <cellStyle name="_Column1_Internal_Quasi Rent Illustration" xfId="1947" xr:uid="{00000000-0005-0000-0000-000006010000}"/>
    <cellStyle name="_Column1_IT Budget 2011" xfId="1948" xr:uid="{00000000-0005-0000-0000-000007010000}"/>
    <cellStyle name="_Column1_IT Budget Master 2011 - Draft V2 1 (2)" xfId="1949" xr:uid="{00000000-0005-0000-0000-000008010000}"/>
    <cellStyle name="_Column1_LTMJUN02" xfId="70" xr:uid="{00000000-0005-0000-0000-000009010000}"/>
    <cellStyle name="_Column1_M&amp;A Model" xfId="71" xr:uid="{00000000-0005-0000-0000-00000A010000}"/>
    <cellStyle name="_Column1_M&amp;A projections" xfId="72" xr:uid="{00000000-0005-0000-0000-00000B010000}"/>
    <cellStyle name="_Column1_MIS Reporting_Budget_JD" xfId="73" xr:uid="{00000000-0005-0000-0000-00000C010000}"/>
    <cellStyle name="_Column1_Net Gain Review Pack - 28th Sept" xfId="1950" xr:uid="{00000000-0005-0000-0000-00000D010000}"/>
    <cellStyle name="_Column1_New Gerresheimer bank plan (sent to JPM 26 Nov 05)" xfId="74" xr:uid="{00000000-0005-0000-0000-00000E010000}"/>
    <cellStyle name="_Column1_P&amp;L bank model - received from Gerresheimer 1 12 05" xfId="75" xr:uid="{00000000-0005-0000-0000-00000F010000}"/>
    <cellStyle name="_Column1_PAR overlay" xfId="1951" xr:uid="{00000000-0005-0000-0000-000010010000}"/>
    <cellStyle name="_Column1_PAR overlay_Projections Pack" xfId="1952" xr:uid="{00000000-0005-0000-0000-000011010000}"/>
    <cellStyle name="_Column1_PAR overlay_Projections Pack (TM)" xfId="1953" xr:uid="{00000000-0005-0000-0000-000012010000}"/>
    <cellStyle name="_Column1_PAR overlay_Quasi Rent Illustration" xfId="1954" xr:uid="{00000000-0005-0000-0000-000013010000}"/>
    <cellStyle name="_Column1_Plan model" xfId="76" xr:uid="{00000000-0005-0000-0000-000014010000}"/>
    <cellStyle name="_Column1_Property Budget 2011" xfId="1955" xr:uid="{00000000-0005-0000-0000-000015010000}"/>
    <cellStyle name="_Column1_Property Budget 2011_Covenants_draft_260412" xfId="1956" xr:uid="{00000000-0005-0000-0000-000016010000}"/>
    <cellStyle name="_Column1_Property Budget 2011_Marketing &amp; Product" xfId="1957" xr:uid="{00000000-0005-0000-0000-000017010000}"/>
    <cellStyle name="_Column1_Quarterly" xfId="77" xr:uid="{00000000-0005-0000-0000-000018010000}"/>
    <cellStyle name="_Column1_Sceanrio 2 Update - Dec 2nd" xfId="1958" xr:uid="{00000000-0005-0000-0000-000019010000}"/>
    <cellStyle name="_Column1_Sceanrio 2 Update - Dec 2nd_Projections Pack" xfId="1959" xr:uid="{00000000-0005-0000-0000-00001A010000}"/>
    <cellStyle name="_Column1_Sceanrio 2 Update - Dec 2nd_Projections Pack (TM)" xfId="1960" xr:uid="{00000000-0005-0000-0000-00001B010000}"/>
    <cellStyle name="_Column1_Sceanrio 2 Update - Dec 2nd_Quasi Rent Illustration" xfId="1961" xr:uid="{00000000-0005-0000-0000-00001C010000}"/>
    <cellStyle name="_Column1_Sheet1" xfId="1962" xr:uid="{00000000-0005-0000-0000-00001D010000}"/>
    <cellStyle name="_Column1_Tabelle1" xfId="78" xr:uid="{00000000-0005-0000-0000-00001E010000}"/>
    <cellStyle name="_Column1_TSG2" xfId="79" xr:uid="{00000000-0005-0000-0000-00001F010000}"/>
    <cellStyle name="_Column1_Update 2004 Figures v2 (sent to banks)" xfId="80" xr:uid="{00000000-0005-0000-0000-000020010000}"/>
    <cellStyle name="_Column1_WC benchmark Calc" xfId="81" xr:uid="{00000000-0005-0000-0000-000021010000}"/>
    <cellStyle name="_Column1_YLC" xfId="1963" xr:uid="{00000000-0005-0000-0000-000022010000}"/>
    <cellStyle name="_Column1_Zins und Bankschuldenberechnung_03_07" xfId="82" xr:uid="{00000000-0005-0000-0000-000023010000}"/>
    <cellStyle name="_Column2" xfId="83" xr:uid="{00000000-0005-0000-0000-000024010000}"/>
    <cellStyle name="_Column2_051003 Viking Business plan" xfId="84" xr:uid="{00000000-0005-0000-0000-000025010000}"/>
    <cellStyle name="_Column2_051004 Viking Business plan10" xfId="85" xr:uid="{00000000-0005-0000-0000-000026010000}"/>
    <cellStyle name="_Column2_Bank case Viking (sent to JPM 10 Nov 05)" xfId="86" xr:uid="{00000000-0005-0000-0000-000027010000}"/>
    <cellStyle name="_Column2_Cost Price Assumptions OPSP0509 vs OPSP0610" xfId="87" xr:uid="{00000000-0005-0000-0000-000028010000}"/>
    <cellStyle name="_Column2_Feeder" xfId="88" xr:uid="{00000000-0005-0000-0000-000029010000}"/>
    <cellStyle name="_Column2_FY 2005-2009 OP-SP Update (11-Oct-04)" xfId="89" xr:uid="{00000000-0005-0000-0000-00002A010000}"/>
    <cellStyle name="_Column2_Key assumptions GX companies" xfId="90" xr:uid="{00000000-0005-0000-0000-00002B010000}"/>
    <cellStyle name="_Column2_M&amp;A Model" xfId="91" xr:uid="{00000000-0005-0000-0000-00002C010000}"/>
    <cellStyle name="_Column2_M&amp;A projections" xfId="92" xr:uid="{00000000-0005-0000-0000-00002D010000}"/>
    <cellStyle name="_Column2_Mappe2" xfId="93" xr:uid="{00000000-0005-0000-0000-00002E010000}"/>
    <cellStyle name="_Column2_MIS Reporting_Budget_OPSP 06-10" xfId="94" xr:uid="{00000000-0005-0000-0000-00002F010000}"/>
    <cellStyle name="_Column2_TSG2" xfId="95" xr:uid="{00000000-0005-0000-0000-000030010000}"/>
    <cellStyle name="_Column3" xfId="96" xr:uid="{00000000-0005-0000-0000-000031010000}"/>
    <cellStyle name="_Column3_051003 Viking Business plan" xfId="97" xr:uid="{00000000-0005-0000-0000-000032010000}"/>
    <cellStyle name="_Column3_051004 Viking Business plan10" xfId="98" xr:uid="{00000000-0005-0000-0000-000033010000}"/>
    <cellStyle name="_Column3_Bank case Viking (sent to JPM 10 Nov 05)" xfId="99" xr:uid="{00000000-0005-0000-0000-000034010000}"/>
    <cellStyle name="_Column3_Cost Price Assumptions OPSP0509 vs OPSP0610" xfId="100" xr:uid="{00000000-0005-0000-0000-000035010000}"/>
    <cellStyle name="_Column3_Feeder" xfId="101" xr:uid="{00000000-0005-0000-0000-000036010000}"/>
    <cellStyle name="_Column3_FY 2005-2009 OP-SP Update (11-Oct-04)" xfId="102" xr:uid="{00000000-0005-0000-0000-000037010000}"/>
    <cellStyle name="_Column3_Key assumptions GX companies" xfId="103" xr:uid="{00000000-0005-0000-0000-000038010000}"/>
    <cellStyle name="_Column3_M&amp;A Model" xfId="104" xr:uid="{00000000-0005-0000-0000-000039010000}"/>
    <cellStyle name="_Column3_M&amp;A projections" xfId="105" xr:uid="{00000000-0005-0000-0000-00003A010000}"/>
    <cellStyle name="_Column3_Mappe2" xfId="106" xr:uid="{00000000-0005-0000-0000-00003B010000}"/>
    <cellStyle name="_Column3_MIS Reporting_Budget_OPSP 06-10" xfId="107" xr:uid="{00000000-0005-0000-0000-00003C010000}"/>
    <cellStyle name="_Column3_TSG2" xfId="108" xr:uid="{00000000-0005-0000-0000-00003D010000}"/>
    <cellStyle name="_Column4" xfId="109" xr:uid="{00000000-0005-0000-0000-00003E010000}"/>
    <cellStyle name="_Column4_051003 Viking Business plan" xfId="110" xr:uid="{00000000-0005-0000-0000-00003F010000}"/>
    <cellStyle name="_Column4_051004 Viking Business plan10" xfId="111" xr:uid="{00000000-0005-0000-0000-000040010000}"/>
    <cellStyle name="_Column4_3.P&amp;L" xfId="1964" xr:uid="{00000000-0005-0000-0000-000041010000}"/>
    <cellStyle name="_Column4_Balance Sheet_restl. Eurowährungsl._Gruppe" xfId="112" xr:uid="{00000000-0005-0000-0000-000042010000}"/>
    <cellStyle name="_Column4_Bank case Viking (sent to JPM 10 Nov 05)" xfId="113" xr:uid="{00000000-0005-0000-0000-000043010000}"/>
    <cellStyle name="_Column4_Book2" xfId="1965" xr:uid="{00000000-0005-0000-0000-000044010000}"/>
    <cellStyle name="_Column4_Cost Price Assumptions OPSP0509 vs OPSP0610" xfId="114" xr:uid="{00000000-0005-0000-0000-000045010000}"/>
    <cellStyle name="_Column4_Covenants_draft_260412" xfId="1966" xr:uid="{00000000-0005-0000-0000-000046010000}"/>
    <cellStyle name="_Column4_DRAFT 11" xfId="1967" xr:uid="{00000000-0005-0000-0000-000047010000}"/>
    <cellStyle name="_Column4_DRAFT 11_Covenants_draft_260412" xfId="1968" xr:uid="{00000000-0005-0000-0000-000048010000}"/>
    <cellStyle name="_Column4_DRAFT 11_Marketing &amp; Product" xfId="1969" xr:uid="{00000000-0005-0000-0000-000049010000}"/>
    <cellStyle name="_Column4_Feeder" xfId="115" xr:uid="{00000000-0005-0000-0000-00004A010000}"/>
    <cellStyle name="_Column4_FY 2005-2009 OP-SP Update (11-Oct-04)" xfId="116" xr:uid="{00000000-0005-0000-0000-00004B010000}"/>
    <cellStyle name="_Column4_Head Office Pack - Draft 1" xfId="1970" xr:uid="{00000000-0005-0000-0000-00004C010000}"/>
    <cellStyle name="_Column4_Head Office Pack - Draft 4" xfId="1971" xr:uid="{00000000-0005-0000-0000-00004D010000}"/>
    <cellStyle name="_Column4_Key assumptions GX companies" xfId="117" xr:uid="{00000000-0005-0000-0000-00004E010000}"/>
    <cellStyle name="_Column4_Konsolidierungsbeträge" xfId="118" xr:uid="{00000000-0005-0000-0000-00004F010000}"/>
    <cellStyle name="_Column4_M&amp;A Model" xfId="119" xr:uid="{00000000-0005-0000-0000-000050010000}"/>
    <cellStyle name="_Column4_M&amp;A projections" xfId="120" xr:uid="{00000000-0005-0000-0000-000051010000}"/>
    <cellStyle name="_Column4_Mappe2" xfId="121" xr:uid="{00000000-0005-0000-0000-000052010000}"/>
    <cellStyle name="_Column4_MIS Reporting_Budget_OPSP 06-10" xfId="122" xr:uid="{00000000-0005-0000-0000-000053010000}"/>
    <cellStyle name="_Column4_PAR overlay" xfId="1972" xr:uid="{00000000-0005-0000-0000-000054010000}"/>
    <cellStyle name="_Column4_PAR overlay_Projections Pack" xfId="1973" xr:uid="{00000000-0005-0000-0000-000055010000}"/>
    <cellStyle name="_Column4_PAR overlay_Projections Pack (TM)" xfId="1974" xr:uid="{00000000-0005-0000-0000-000056010000}"/>
    <cellStyle name="_Column4_PAR overlay_Quasi Rent Illustration" xfId="1975" xr:uid="{00000000-0005-0000-0000-000057010000}"/>
    <cellStyle name="_Column4_Property Budget 2011" xfId="1976" xr:uid="{00000000-0005-0000-0000-000058010000}"/>
    <cellStyle name="_Column4_Property Budget 2011_Covenants_draft_260412" xfId="1977" xr:uid="{00000000-0005-0000-0000-000059010000}"/>
    <cellStyle name="_Column4_Property Budget 2011_Marketing &amp; Product" xfId="1978" xr:uid="{00000000-0005-0000-0000-00005A010000}"/>
    <cellStyle name="_Column4_Sheet1" xfId="1979" xr:uid="{00000000-0005-0000-0000-00005B010000}"/>
    <cellStyle name="_Column4_TSG2" xfId="123" xr:uid="{00000000-0005-0000-0000-00005C010000}"/>
    <cellStyle name="_Column4_YLC" xfId="1980" xr:uid="{00000000-0005-0000-0000-00005D010000}"/>
    <cellStyle name="_Column5" xfId="124" xr:uid="{00000000-0005-0000-0000-00005E010000}"/>
    <cellStyle name="_Column5_051003 Viking Business plan" xfId="125" xr:uid="{00000000-0005-0000-0000-00005F010000}"/>
    <cellStyle name="_Column5_051004 Viking Business plan10" xfId="126" xr:uid="{00000000-0005-0000-0000-000060010000}"/>
    <cellStyle name="_Column5_Bank case Viking (sent to JPM 10 Nov 05)" xfId="127" xr:uid="{00000000-0005-0000-0000-000061010000}"/>
    <cellStyle name="_Column5_Cost Price Assumptions OPSP0509 vs OPSP0610" xfId="128" xr:uid="{00000000-0005-0000-0000-000062010000}"/>
    <cellStyle name="_Column5_Feeder" xfId="129" xr:uid="{00000000-0005-0000-0000-000063010000}"/>
    <cellStyle name="_Column5_FY 2005-2009 OP-SP Update (11-Oct-04)" xfId="130" xr:uid="{00000000-0005-0000-0000-000064010000}"/>
    <cellStyle name="_Column5_Key assumptions GX companies" xfId="131" xr:uid="{00000000-0005-0000-0000-000065010000}"/>
    <cellStyle name="_Column5_Konsolidierungsbeträge" xfId="132" xr:uid="{00000000-0005-0000-0000-000066010000}"/>
    <cellStyle name="_Column5_M&amp;A Model" xfId="133" xr:uid="{00000000-0005-0000-0000-000067010000}"/>
    <cellStyle name="_Column5_M&amp;A projections" xfId="134" xr:uid="{00000000-0005-0000-0000-000068010000}"/>
    <cellStyle name="_Column5_Mappe2" xfId="135" xr:uid="{00000000-0005-0000-0000-000069010000}"/>
    <cellStyle name="_Column5_MIS Reporting_Budget_OPSP 06-10" xfId="136" xr:uid="{00000000-0005-0000-0000-00006A010000}"/>
    <cellStyle name="_Column5_TSG2" xfId="137" xr:uid="{00000000-0005-0000-0000-00006B010000}"/>
    <cellStyle name="_Column6" xfId="138" xr:uid="{00000000-0005-0000-0000-00006C010000}"/>
    <cellStyle name="_Column6_051003 Viking Business plan" xfId="139" xr:uid="{00000000-0005-0000-0000-00006D010000}"/>
    <cellStyle name="_Column6_051004 Viking Business plan10" xfId="140" xr:uid="{00000000-0005-0000-0000-00006E010000}"/>
    <cellStyle name="_Column6_Bank case Viking (sent to JPM 10 Nov 05)" xfId="141" xr:uid="{00000000-0005-0000-0000-00006F010000}"/>
    <cellStyle name="_Column6_Cost Price Assumptions OPSP0509 vs OPSP0610" xfId="142" xr:uid="{00000000-0005-0000-0000-000070010000}"/>
    <cellStyle name="_Column6_Feeder" xfId="143" xr:uid="{00000000-0005-0000-0000-000071010000}"/>
    <cellStyle name="_Column6_FY 2005-2009 OP-SP Update (11-Oct-04)" xfId="144" xr:uid="{00000000-0005-0000-0000-000072010000}"/>
    <cellStyle name="_Column6_Key assumptions GX companies" xfId="145" xr:uid="{00000000-0005-0000-0000-000073010000}"/>
    <cellStyle name="_Column6_M&amp;A Model" xfId="146" xr:uid="{00000000-0005-0000-0000-000074010000}"/>
    <cellStyle name="_Column6_M&amp;A projections" xfId="147" xr:uid="{00000000-0005-0000-0000-000075010000}"/>
    <cellStyle name="_Column6_Mappe2" xfId="148" xr:uid="{00000000-0005-0000-0000-000076010000}"/>
    <cellStyle name="_Column6_MIS Reporting_Budget_OPSP 06-10" xfId="149" xr:uid="{00000000-0005-0000-0000-000077010000}"/>
    <cellStyle name="_Column6_TSG2" xfId="150" xr:uid="{00000000-0005-0000-0000-000078010000}"/>
    <cellStyle name="_Column7" xfId="151" xr:uid="{00000000-0005-0000-0000-000079010000}"/>
    <cellStyle name="_Column7_051003 Viking Business plan" xfId="152" xr:uid="{00000000-0005-0000-0000-00007A010000}"/>
    <cellStyle name="_Column7_051004 Viking Business plan10" xfId="153" xr:uid="{00000000-0005-0000-0000-00007B010000}"/>
    <cellStyle name="_Column7_3. Version 4 Bank" xfId="1981" xr:uid="{00000000-0005-0000-0000-00007C010000}"/>
    <cellStyle name="_Column7_3. Version 4 Bank new segments" xfId="1982" xr:uid="{00000000-0005-0000-0000-00007D010000}"/>
    <cellStyle name="_Column7_4. Version 4 Bank new segments with rollout" xfId="1983" xr:uid="{00000000-0005-0000-0000-00007E010000}"/>
    <cellStyle name="_Column7_4. Version 4 Bank with Rollout" xfId="1984" xr:uid="{00000000-0005-0000-0000-00007F010000}"/>
    <cellStyle name="_Column7_Balance Sheet_restl. Eurowährungsl._Gruppe" xfId="154" xr:uid="{00000000-0005-0000-0000-000080010000}"/>
    <cellStyle name="_Column7_Bank case Viking (sent to JPM 10 Nov 05)" xfId="155" xr:uid="{00000000-0005-0000-0000-000081010000}"/>
    <cellStyle name="_Column7_Cost Price Assumptions OPSP0509 vs OPSP0610" xfId="156" xr:uid="{00000000-0005-0000-0000-000082010000}"/>
    <cellStyle name="_Column7_Feeder" xfId="157" xr:uid="{00000000-0005-0000-0000-000083010000}"/>
    <cellStyle name="_Column7_FY 2005-2009 OP-SP Update (11-Oct-04)" xfId="158" xr:uid="{00000000-0005-0000-0000-000084010000}"/>
    <cellStyle name="_Column7_Key assumptions GX companies" xfId="159" xr:uid="{00000000-0005-0000-0000-000085010000}"/>
    <cellStyle name="_Column7_M&amp;A Model" xfId="160" xr:uid="{00000000-0005-0000-0000-000086010000}"/>
    <cellStyle name="_Column7_M&amp;A projections" xfId="161" xr:uid="{00000000-0005-0000-0000-000087010000}"/>
    <cellStyle name="_Column7_Mappe2" xfId="162" xr:uid="{00000000-0005-0000-0000-000088010000}"/>
    <cellStyle name="_Column7_MIS Reporting_Budget_OPSP 06-10" xfId="163" xr:uid="{00000000-0005-0000-0000-000089010000}"/>
    <cellStyle name="_Column7_PAR overlay" xfId="1985" xr:uid="{00000000-0005-0000-0000-00008A010000}"/>
    <cellStyle name="_Column7_TSG2" xfId="164" xr:uid="{00000000-0005-0000-0000-00008B010000}"/>
    <cellStyle name="_Column7_UBS Model" xfId="1986" xr:uid="{00000000-0005-0000-0000-00008C010000}"/>
    <cellStyle name="_Column7_UBS Model - upside model" xfId="1987" xr:uid="{00000000-0005-0000-0000-00008D010000}"/>
    <cellStyle name="_Column8" xfId="165" xr:uid="{00000000-0005-0000-0000-00008E010000}"/>
    <cellStyle name="_Column8_021202External Sales 2000_2001_DA_feste Werte" xfId="166" xr:uid="{00000000-0005-0000-0000-00008F010000}"/>
    <cellStyle name="_Column8_Balance Sheet_restl. Eurowährungsl._Gruppe" xfId="167" xr:uid="{00000000-0005-0000-0000-000090010000}"/>
    <cellStyle name="_Column8_Konsolidierungsbeträge" xfId="168" xr:uid="{00000000-0005-0000-0000-000091010000}"/>
    <cellStyle name="_Comma" xfId="169" xr:uid="{00000000-0005-0000-0000-000092010000}"/>
    <cellStyle name="_Comma 2 3" xfId="3624" xr:uid="{00000000-0005-0000-0000-000093010000}"/>
    <cellStyle name="_Comma_Betas" xfId="170" xr:uid="{00000000-0005-0000-0000-000094010000}"/>
    <cellStyle name="_Comma_Betas as of 18-Apr-20022" xfId="171" xr:uid="{00000000-0005-0000-0000-000095010000}"/>
    <cellStyle name="_Comma_Draft funds flow - 7 June 2005" xfId="2312" xr:uid="{00000000-0005-0000-0000-000096010000}"/>
    <cellStyle name="_Comma_EXPN" xfId="172" xr:uid="{00000000-0005-0000-0000-000097010000}"/>
    <cellStyle name="_Comma_MD 1 model_blank_Augustin" xfId="173" xr:uid="{00000000-0005-0000-0000-000098010000}"/>
    <cellStyle name="_Comma_Offering Breakdown - 09-Jun -2005" xfId="2313" xr:uid="{00000000-0005-0000-0000-000099010000}"/>
    <cellStyle name="_Comma_Offering Breakdown - 09-Jun -2005 updated" xfId="2314" xr:uid="{00000000-0005-0000-0000-00009A010000}"/>
    <cellStyle name="_Comma_Offering Breakdown - 19-Jun -2005 updated" xfId="2315" xr:uid="{00000000-0005-0000-0000-00009B010000}"/>
    <cellStyle name="_Crown Holdings  - LBO Model 1.8 covenants_3 Aug" xfId="174" xr:uid="{00000000-0005-0000-0000-00009C010000}"/>
    <cellStyle name="_Currency" xfId="175" xr:uid="{00000000-0005-0000-0000-00009D010000}"/>
    <cellStyle name="_Currency 4" xfId="3630" xr:uid="{00000000-0005-0000-0000-00009E010000}"/>
    <cellStyle name="_Currency_Betas" xfId="176" xr:uid="{00000000-0005-0000-0000-00009F010000}"/>
    <cellStyle name="_Currency_Betas as of 18-Apr-20022" xfId="177" xr:uid="{00000000-0005-0000-0000-0000A0010000}"/>
    <cellStyle name="_Currency_Draft funds flow - 7 June 2005" xfId="2316" xr:uid="{00000000-0005-0000-0000-0000A1010000}"/>
    <cellStyle name="_Currency_EXPN" xfId="178" xr:uid="{00000000-0005-0000-0000-0000A2010000}"/>
    <cellStyle name="_Currency_MD 1 model_blank_Augustin" xfId="179" xr:uid="{00000000-0005-0000-0000-0000A3010000}"/>
    <cellStyle name="_Currency_Offering Breakdown - 09-Jun -2005" xfId="2317" xr:uid="{00000000-0005-0000-0000-0000A4010000}"/>
    <cellStyle name="_Currency_Offering Breakdown - 09-Jun -2005 updated" xfId="2318" xr:uid="{00000000-0005-0000-0000-0000A5010000}"/>
    <cellStyle name="_Currency_Offering Breakdown - 19-Jun -2005 updated" xfId="2319" xr:uid="{00000000-0005-0000-0000-0000A6010000}"/>
    <cellStyle name="_Currency_pi5" xfId="2320" xr:uid="{00000000-0005-0000-0000-0000A7010000}"/>
    <cellStyle name="_Currency_surbid4 cloture" xfId="2321" xr:uid="{00000000-0005-0000-0000-0000A8010000}"/>
    <cellStyle name="_Currency_surbid4 cloture_1" xfId="2322" xr:uid="{00000000-0005-0000-0000-0000A9010000}"/>
    <cellStyle name="_Currency_temp templates2" xfId="180" xr:uid="{00000000-0005-0000-0000-0000AA010000}"/>
    <cellStyle name="_Currency_tropicos5" xfId="2323" xr:uid="{00000000-0005-0000-0000-0000AB010000}"/>
    <cellStyle name="_Currency_tropicos5_victoria 6nov01" xfId="2324" xr:uid="{00000000-0005-0000-0000-0000AC010000}"/>
    <cellStyle name="_Currency_voice1.xls Chart 1" xfId="2325" xr:uid="{00000000-0005-0000-0000-0000AD010000}"/>
    <cellStyle name="_Currency_voice1.xls Chart 1_victoria 6nov01" xfId="2326" xr:uid="{00000000-0005-0000-0000-0000AE010000}"/>
    <cellStyle name="_Currency_wacc" xfId="2327" xr:uid="{00000000-0005-0000-0000-0000AF010000}"/>
    <cellStyle name="_Currency_wacc bb final" xfId="181" xr:uid="{00000000-0005-0000-0000-0000B0010000}"/>
    <cellStyle name="_CurrencySpace" xfId="182" xr:uid="{00000000-0005-0000-0000-0000B1010000}"/>
    <cellStyle name="_CurrencySpace_Betas" xfId="183" xr:uid="{00000000-0005-0000-0000-0000B2010000}"/>
    <cellStyle name="_CurrencySpace_Betas as of 18-Apr-20022" xfId="184" xr:uid="{00000000-0005-0000-0000-0000B3010000}"/>
    <cellStyle name="_CurrencySpace_Draft funds flow - 7 June 2005" xfId="2328" xr:uid="{00000000-0005-0000-0000-0000B4010000}"/>
    <cellStyle name="_CurrencySpace_EXPN" xfId="185" xr:uid="{00000000-0005-0000-0000-0000B5010000}"/>
    <cellStyle name="_CurrencySpace_MD 1 model_blank_Augustin" xfId="186" xr:uid="{00000000-0005-0000-0000-0000B6010000}"/>
    <cellStyle name="_CurrencySpace_Offering Breakdown - 09-Jun -2005" xfId="2329" xr:uid="{00000000-0005-0000-0000-0000B7010000}"/>
    <cellStyle name="_CurrencySpace_Offering Breakdown - 09-Jun -2005 updated" xfId="2330" xr:uid="{00000000-0005-0000-0000-0000B8010000}"/>
    <cellStyle name="_CurrencySpace_Offering Breakdown - 19-Jun -2005 updated" xfId="2331" xr:uid="{00000000-0005-0000-0000-0000B9010000}"/>
    <cellStyle name="_CurrencySpace_sonera - 26july2001" xfId="2332" xr:uid="{00000000-0005-0000-0000-0000BA010000}"/>
    <cellStyle name="_CurrencySpace_Sonera - april01" xfId="2333" xr:uid="{00000000-0005-0000-0000-0000BB010000}"/>
    <cellStyle name="_CurrencySpace_stahl_dcf+lbo_FINAL MODEL USED FOR FAIRNESS MEETING 5 Dec 2001" xfId="2334" xr:uid="{00000000-0005-0000-0000-0000BC010000}"/>
    <cellStyle name="_CurrencySpace_stahl_dcf+lbo_revised fins" xfId="2335" xr:uid="{00000000-0005-0000-0000-0000BD010000}"/>
    <cellStyle name="_CurrencySpace_VMS Breakdown" xfId="2336" xr:uid="{00000000-0005-0000-0000-0000BE010000}"/>
    <cellStyle name="_CurrencySpace_WACC Page" xfId="2337" xr:uid="{00000000-0005-0000-0000-0000BF010000}"/>
    <cellStyle name="_CurrencySpace_Wacc V2" xfId="2338" xr:uid="{00000000-0005-0000-0000-0000C0010000}"/>
    <cellStyle name="_Data" xfId="187" xr:uid="{00000000-0005-0000-0000-0000C1010000}"/>
    <cellStyle name="_Data_Aurora LBO v25" xfId="188" xr:uid="{00000000-0005-0000-0000-0000C2010000}"/>
    <cellStyle name="_Data_Balance Sheet_restl. Eurowährungsl._Gruppe" xfId="189" xr:uid="{00000000-0005-0000-0000-0000C3010000}"/>
    <cellStyle name="_Data_Bank case Viking (sent to JPM 10 Nov 05)" xfId="190" xr:uid="{00000000-0005-0000-0000-0000C4010000}"/>
    <cellStyle name="_Data_Banks (2)" xfId="191" xr:uid="{00000000-0005-0000-0000-0000C5010000}"/>
    <cellStyle name="_Data_EBITDA-Recon P&amp;L OPSP04-08_GX" xfId="192" xr:uid="{00000000-0005-0000-0000-0000C6010000}"/>
    <cellStyle name="_Data_Feeder" xfId="193" xr:uid="{00000000-0005-0000-0000-0000C7010000}"/>
    <cellStyle name="_Data_Financial ratios_Euroland" xfId="194" xr:uid="{00000000-0005-0000-0000-0000C8010000}"/>
    <cellStyle name="_Data_GX evaluation without pensions" xfId="195" xr:uid="{00000000-0005-0000-0000-0000C9010000}"/>
    <cellStyle name="_Data_GX OPSP0509 incl. Zurückdrehen Subsidies NVM" xfId="196" xr:uid="{00000000-0005-0000-0000-0000CA010000}"/>
    <cellStyle name="_Data_GX Plan" xfId="197" xr:uid="{00000000-0005-0000-0000-0000CB010000}"/>
    <cellStyle name="_Data_Headcount" xfId="198" xr:uid="{00000000-0005-0000-0000-0000CC010000}"/>
    <cellStyle name="_Data_Headcount_Monthly report" xfId="199" xr:uid="{00000000-0005-0000-0000-0000CD010000}"/>
    <cellStyle name="_Data_LTMJUN02" xfId="200" xr:uid="{00000000-0005-0000-0000-0000CE010000}"/>
    <cellStyle name="_Data_M&amp;A Model" xfId="201" xr:uid="{00000000-0005-0000-0000-0000CF010000}"/>
    <cellStyle name="_Data_M&amp;A projections" xfId="202" xr:uid="{00000000-0005-0000-0000-0000D0010000}"/>
    <cellStyle name="_Data_MIS Reporting_Budget_JD" xfId="203" xr:uid="{00000000-0005-0000-0000-0000D1010000}"/>
    <cellStyle name="_Data_New Gerresheimer bank plan (sent to JPM 26 Nov 05)" xfId="204" xr:uid="{00000000-0005-0000-0000-0000D2010000}"/>
    <cellStyle name="_Data_P&amp;L bank model - received from Gerresheimer 1 12 05" xfId="205" xr:uid="{00000000-0005-0000-0000-0000D3010000}"/>
    <cellStyle name="_Data_Plan model" xfId="206" xr:uid="{00000000-0005-0000-0000-0000D4010000}"/>
    <cellStyle name="_Data_Quarterly" xfId="207" xr:uid="{00000000-0005-0000-0000-0000D5010000}"/>
    <cellStyle name="_Data_Tabelle1" xfId="208" xr:uid="{00000000-0005-0000-0000-0000D6010000}"/>
    <cellStyle name="_Data_TSG2" xfId="209" xr:uid="{00000000-0005-0000-0000-0000D7010000}"/>
    <cellStyle name="_Data_Update 2004 Figures v2 (sent to banks)" xfId="210" xr:uid="{00000000-0005-0000-0000-0000D8010000}"/>
    <cellStyle name="_Data_WC benchmark Calc" xfId="211" xr:uid="{00000000-0005-0000-0000-0000D9010000}"/>
    <cellStyle name="_Data_Zins und Bankschuldenberechnung_03_07" xfId="212" xr:uid="{00000000-0005-0000-0000-0000DA010000}"/>
    <cellStyle name="_Dec Exec Pack" xfId="1988" xr:uid="{00000000-0005-0000-0000-0000DB010000}"/>
    <cellStyle name="_Dec Exec Pack_Covenants_draft_260412" xfId="1989" xr:uid="{00000000-0005-0000-0000-0000DC010000}"/>
    <cellStyle name="_Dec Exec Pack_Head Office Pack - Draft 1" xfId="1990" xr:uid="{00000000-0005-0000-0000-0000DD010000}"/>
    <cellStyle name="_Dec Exec Pack_Head Office Pack - Draft 4" xfId="1991" xr:uid="{00000000-0005-0000-0000-0000DE010000}"/>
    <cellStyle name="_Dec Exec Pack_Property Budget 2011" xfId="1992" xr:uid="{00000000-0005-0000-0000-0000DF010000}"/>
    <cellStyle name="_Dec Exec Pack_Property Budget 2011_Covenants_draft_260412" xfId="1993" xr:uid="{00000000-0005-0000-0000-0000E0010000}"/>
    <cellStyle name="_Dec Exec Pack_Property Budget 2011_Marketing &amp; Product" xfId="1994" xr:uid="{00000000-0005-0000-0000-0000E1010000}"/>
    <cellStyle name="_Dec Exec Pack_Sheet1" xfId="1995" xr:uid="{00000000-0005-0000-0000-0000E2010000}"/>
    <cellStyle name="_Detailed Analysis" xfId="1996" xr:uid="{00000000-0005-0000-0000-0000E3010000}"/>
    <cellStyle name="_Detailed P&amp;L's" xfId="1997" xr:uid="{00000000-0005-0000-0000-0000E4010000}"/>
    <cellStyle name="_Dollar" xfId="2339" xr:uid="{00000000-0005-0000-0000-0000E5010000}"/>
    <cellStyle name="_Dollar_AVP Lucia excl. Assoc" xfId="2340" xr:uid="{00000000-0005-0000-0000-0000E6010000}"/>
    <cellStyle name="_Dollar_Benchmarking analysis" xfId="2341" xr:uid="{00000000-0005-0000-0000-0000E7010000}"/>
    <cellStyle name="_Dollar_Clementine revenue model-v10" xfId="2342" xr:uid="{00000000-0005-0000-0000-0000E8010000}"/>
    <cellStyle name="_Dollar_Clementine revenue model-v5" xfId="2343" xr:uid="{00000000-0005-0000-0000-0000E9010000}"/>
    <cellStyle name="_Dollar_liberate fact sheet" xfId="2344" xr:uid="{00000000-0005-0000-0000-0000EA010000}"/>
    <cellStyle name="_Dollar_New Sonera 4" xfId="2345" xr:uid="{00000000-0005-0000-0000-0000EB010000}"/>
    <cellStyle name="_Dollar_Pro-forma financials &amp; merger plan - 5 march 02" xfId="2346" xr:uid="{00000000-0005-0000-0000-0000EC010000}"/>
    <cellStyle name="_Dollar_sonera - 26july2001" xfId="2347" xr:uid="{00000000-0005-0000-0000-0000ED010000}"/>
    <cellStyle name="_Dollar_Sonera - april01" xfId="2348" xr:uid="{00000000-0005-0000-0000-0000EE010000}"/>
    <cellStyle name="_Dollar_T_MOBIL2" xfId="2349" xr:uid="{00000000-0005-0000-0000-0000EF010000}"/>
    <cellStyle name="_Dollar_Turkcell6" xfId="2350" xr:uid="{00000000-0005-0000-0000-0000F0010000}"/>
    <cellStyle name="_Dollar_Value Creation Analysis" xfId="2351" xr:uid="{00000000-0005-0000-0000-0000F1010000}"/>
    <cellStyle name="_Dollar_Versatel1" xfId="2352" xr:uid="{00000000-0005-0000-0000-0000F2010000}"/>
    <cellStyle name="_Draft 1 - 26th November" xfId="1998" xr:uid="{00000000-0005-0000-0000-0000F3010000}"/>
    <cellStyle name="_Draft 1 - 29th September rv" xfId="1999" xr:uid="{00000000-0005-0000-0000-0000F4010000}"/>
    <cellStyle name="_e-plus debt - Machado1" xfId="2365" xr:uid="{00000000-0005-0000-0000-000002020000}"/>
    <cellStyle name="_Entry Point" xfId="2000" xr:uid="{00000000-0005-0000-0000-000001020000}"/>
    <cellStyle name="_Euro" xfId="213" xr:uid="{00000000-0005-0000-0000-000003020000}"/>
    <cellStyle name="_Euro Pack" xfId="2001" xr:uid="{00000000-0005-0000-0000-000004020000}"/>
    <cellStyle name="_Euro Pack_Covenants_draft_260412" xfId="2002" xr:uid="{00000000-0005-0000-0000-000005020000}"/>
    <cellStyle name="_Euro Pack_Head Office Pack - Draft 1" xfId="2003" xr:uid="{00000000-0005-0000-0000-000006020000}"/>
    <cellStyle name="_Euro Pack_Head Office Pack - Draft 4" xfId="2004" xr:uid="{00000000-0005-0000-0000-000007020000}"/>
    <cellStyle name="_Euro Pack_Property Budget 2011" xfId="2005" xr:uid="{00000000-0005-0000-0000-000008020000}"/>
    <cellStyle name="_Euro Pack_Property Budget 2011_Covenants_draft_260412" xfId="2006" xr:uid="{00000000-0005-0000-0000-000009020000}"/>
    <cellStyle name="_Euro Pack_Property Budget 2011_Marketing &amp; Product" xfId="2007" xr:uid="{00000000-0005-0000-0000-00000A020000}"/>
    <cellStyle name="_Euro Pack_Sheet1" xfId="2008" xr:uid="{00000000-0005-0000-0000-00000B020000}"/>
    <cellStyle name="_Euro_01research_benchmark" xfId="2366" xr:uid="{00000000-0005-0000-0000-00000C020000}"/>
    <cellStyle name="_Euro_02 CSC Thomson - 26 may" xfId="2367" xr:uid="{00000000-0005-0000-0000-00000D020000}"/>
    <cellStyle name="_Euro_03 CSC 28-Oct-02" xfId="2368" xr:uid="{00000000-0005-0000-0000-00000E020000}"/>
    <cellStyle name="_Euro_CSC July 24" xfId="2369" xr:uid="{00000000-0005-0000-0000-00000F020000}"/>
    <cellStyle name="_Euro_EXPN" xfId="214" xr:uid="{00000000-0005-0000-0000-000010020000}"/>
    <cellStyle name="_Euro_Wacc V2" xfId="2370" xr:uid="{00000000-0005-0000-0000-000011020000}"/>
    <cellStyle name="_Europe RD Pack P3" xfId="2009" xr:uid="{00000000-0005-0000-0000-000012020000}"/>
    <cellStyle name="_Exec Overview" xfId="2010" xr:uid="{00000000-0005-0000-0000-000013020000}"/>
    <cellStyle name="_Exec Overview_Book2" xfId="2011" xr:uid="{00000000-0005-0000-0000-000014020000}"/>
    <cellStyle name="_Exec Overview_Covenants_draft_260412" xfId="2012" xr:uid="{00000000-0005-0000-0000-000015020000}"/>
    <cellStyle name="_Exec Overview_Internal" xfId="2013" xr:uid="{00000000-0005-0000-0000-000016020000}"/>
    <cellStyle name="_Exec Overview_Internal 1" xfId="2014" xr:uid="{00000000-0005-0000-0000-000017020000}"/>
    <cellStyle name="_Exec Overview_Internal 1_Projections Pack" xfId="2015" xr:uid="{00000000-0005-0000-0000-000018020000}"/>
    <cellStyle name="_Exec Overview_Internal 1_Projections Pack (TM)" xfId="2016" xr:uid="{00000000-0005-0000-0000-000019020000}"/>
    <cellStyle name="_Exec Overview_Internal 1_Quasi Rent Illustration" xfId="2017" xr:uid="{00000000-0005-0000-0000-00001A020000}"/>
    <cellStyle name="_Exec Overview_Internal_Projections Pack" xfId="2018" xr:uid="{00000000-0005-0000-0000-00001B020000}"/>
    <cellStyle name="_Exec Overview_Internal_Projections Pack (TM)" xfId="2019" xr:uid="{00000000-0005-0000-0000-00001C020000}"/>
    <cellStyle name="_Exec Overview_Internal_Quasi Rent Illustration" xfId="2020" xr:uid="{00000000-0005-0000-0000-00001D020000}"/>
    <cellStyle name="_Exec Overview_Marketing &amp; Product" xfId="2021" xr:uid="{00000000-0005-0000-0000-00001E020000}"/>
    <cellStyle name="_Exec Overview_Net Gain Review Pack - 28th Sept" xfId="2022" xr:uid="{00000000-0005-0000-0000-00001F020000}"/>
    <cellStyle name="_Exec Overview_PAR overlay" xfId="2023" xr:uid="{00000000-0005-0000-0000-000020020000}"/>
    <cellStyle name="_Exec Overview_PAR overlay_Projections Pack" xfId="2024" xr:uid="{00000000-0005-0000-0000-000021020000}"/>
    <cellStyle name="_Exec Overview_PAR overlay_Projections Pack (TM)" xfId="2025" xr:uid="{00000000-0005-0000-0000-000022020000}"/>
    <cellStyle name="_Exec Overview_PAR overlay_Quasi Rent Illustration" xfId="2026" xr:uid="{00000000-0005-0000-0000-000023020000}"/>
    <cellStyle name="_Exec Overview_Sceanrio 2 Update - Dec 2nd" xfId="2027" xr:uid="{00000000-0005-0000-0000-000024020000}"/>
    <cellStyle name="_Exec Overview_Sceanrio 2 Update - Dec 2nd_Projections Pack" xfId="2028" xr:uid="{00000000-0005-0000-0000-000025020000}"/>
    <cellStyle name="_Exec Overview_Sceanrio 2 Update - Dec 2nd_Projections Pack (TM)" xfId="2029" xr:uid="{00000000-0005-0000-0000-000026020000}"/>
    <cellStyle name="_Exec Overview_Sceanrio 2 Update - Dec 2nd_Quasi Rent Illustration" xfId="2030" xr:uid="{00000000-0005-0000-0000-000027020000}"/>
    <cellStyle name="_Exec Overview_Sheet1" xfId="2031" xr:uid="{00000000-0005-0000-0000-000028020000}"/>
    <cellStyle name="_Exec Overview_YLC" xfId="2032" xr:uid="{00000000-0005-0000-0000-000029020000}"/>
    <cellStyle name="_Exec pack post Jason Smith Changes" xfId="2033" xr:uid="{00000000-0005-0000-0000-00002A020000}"/>
    <cellStyle name="_Exec pack post Jason Smith Changes_Covenants_draft_260412" xfId="2034" xr:uid="{00000000-0005-0000-0000-00002B020000}"/>
    <cellStyle name="_Exec pack post Jason Smith Changes_Head Office Pack - Draft 1" xfId="2035" xr:uid="{00000000-0005-0000-0000-00002C020000}"/>
    <cellStyle name="_Exec pack post Jason Smith Changes_Head Office Pack - Draft 4" xfId="2036" xr:uid="{00000000-0005-0000-0000-00002D020000}"/>
    <cellStyle name="_Exec pack post Jason Smith Changes_Property Budget 2011" xfId="2037" xr:uid="{00000000-0005-0000-0000-00002E020000}"/>
    <cellStyle name="_Exec pack post Jason Smith Changes_Property Budget 2011_Covenants_draft_260412" xfId="2038" xr:uid="{00000000-0005-0000-0000-00002F020000}"/>
    <cellStyle name="_Exec pack post Jason Smith Changes_Property Budget 2011_Marketing &amp; Product" xfId="2039" xr:uid="{00000000-0005-0000-0000-000030020000}"/>
    <cellStyle name="_Exec pack post Jason Smith Changes_Sheet1" xfId="2040" xr:uid="{00000000-0005-0000-0000-000031020000}"/>
    <cellStyle name="_Exec Performance Pack" xfId="2041" xr:uid="{00000000-0005-0000-0000-000032020000}"/>
    <cellStyle name="_EXPN" xfId="215" xr:uid="{00000000-0005-0000-0000-000033020000}"/>
    <cellStyle name="_final pricing DLLNG Dec 14 2007" xfId="2042" xr:uid="{00000000-0005-0000-0000-000034020000}"/>
    <cellStyle name="_FINAL RISKS AND OPS" xfId="2043" xr:uid="{00000000-0005-0000-0000-000035020000}"/>
    <cellStyle name="_FINAL RISKS AND OPS_Book2" xfId="2044" xr:uid="{00000000-0005-0000-0000-000036020000}"/>
    <cellStyle name="_FINAL RISKS AND OPS_Covenants_draft_260412" xfId="2045" xr:uid="{00000000-0005-0000-0000-000037020000}"/>
    <cellStyle name="_FINAL RISKS AND OPS_Internal" xfId="2046" xr:uid="{00000000-0005-0000-0000-000038020000}"/>
    <cellStyle name="_FINAL RISKS AND OPS_Internal 1" xfId="2047" xr:uid="{00000000-0005-0000-0000-000039020000}"/>
    <cellStyle name="_FINAL RISKS AND OPS_Internal 1_Projections Pack" xfId="2048" xr:uid="{00000000-0005-0000-0000-00003A020000}"/>
    <cellStyle name="_FINAL RISKS AND OPS_Internal 1_Projections Pack (TM)" xfId="2049" xr:uid="{00000000-0005-0000-0000-00003B020000}"/>
    <cellStyle name="_FINAL RISKS AND OPS_Internal 1_Quasi Rent Illustration" xfId="2050" xr:uid="{00000000-0005-0000-0000-00003C020000}"/>
    <cellStyle name="_FINAL RISKS AND OPS_Internal_Projections Pack" xfId="2051" xr:uid="{00000000-0005-0000-0000-00003D020000}"/>
    <cellStyle name="_FINAL RISKS AND OPS_Internal_Projections Pack (TM)" xfId="2052" xr:uid="{00000000-0005-0000-0000-00003E020000}"/>
    <cellStyle name="_FINAL RISKS AND OPS_Internal_Quasi Rent Illustration" xfId="2053" xr:uid="{00000000-0005-0000-0000-00003F020000}"/>
    <cellStyle name="_FINAL RISKS AND OPS_Marketing &amp; Product" xfId="2054" xr:uid="{00000000-0005-0000-0000-000040020000}"/>
    <cellStyle name="_FINAL RISKS AND OPS_Net Gain Review Pack - 28th Sept" xfId="2055" xr:uid="{00000000-0005-0000-0000-000041020000}"/>
    <cellStyle name="_FINAL RISKS AND OPS_PAR overlay" xfId="2056" xr:uid="{00000000-0005-0000-0000-000042020000}"/>
    <cellStyle name="_FINAL RISKS AND OPS_PAR overlay_Projections Pack" xfId="2057" xr:uid="{00000000-0005-0000-0000-000043020000}"/>
    <cellStyle name="_FINAL RISKS AND OPS_PAR overlay_Projections Pack (TM)" xfId="2058" xr:uid="{00000000-0005-0000-0000-000044020000}"/>
    <cellStyle name="_FINAL RISKS AND OPS_PAR overlay_Quasi Rent Illustration" xfId="2059" xr:uid="{00000000-0005-0000-0000-000045020000}"/>
    <cellStyle name="_FINAL RISKS AND OPS_Sceanrio 2 Update - Dec 2nd" xfId="2060" xr:uid="{00000000-0005-0000-0000-000046020000}"/>
    <cellStyle name="_FINAL RISKS AND OPS_Sceanrio 2 Update - Dec 2nd_Projections Pack" xfId="2061" xr:uid="{00000000-0005-0000-0000-000047020000}"/>
    <cellStyle name="_FINAL RISKS AND OPS_Sceanrio 2 Update - Dec 2nd_Projections Pack (TM)" xfId="2062" xr:uid="{00000000-0005-0000-0000-000048020000}"/>
    <cellStyle name="_FINAL RISKS AND OPS_Sceanrio 2 Update - Dec 2nd_Quasi Rent Illustration" xfId="2063" xr:uid="{00000000-0005-0000-0000-000049020000}"/>
    <cellStyle name="_FINAL RISKS AND OPS_Sheet1" xfId="2064" xr:uid="{00000000-0005-0000-0000-00004A020000}"/>
    <cellStyle name="_FINAL RISKS AND OPS_YLC" xfId="2065" xr:uid="{00000000-0005-0000-0000-00004B020000}"/>
    <cellStyle name="_Fosters_fins" xfId="216" xr:uid="{00000000-0005-0000-0000-00004C020000}"/>
    <cellStyle name="_George - LBO Model 3.1" xfId="217" xr:uid="{00000000-0005-0000-0000-00004D020000}"/>
    <cellStyle name="_gerresheimer_currentv5" xfId="218" xr:uid="{00000000-0005-0000-0000-00004E020000}"/>
    <cellStyle name="_H&amp;F" xfId="2066" xr:uid="{00000000-0005-0000-0000-00001A040000}"/>
    <cellStyle name="_H&amp;F_Covenants_draft_260412" xfId="2067" xr:uid="{00000000-0005-0000-0000-00001B040000}"/>
    <cellStyle name="_H&amp;F_Head Office Pack - Draft 1" xfId="2068" xr:uid="{00000000-0005-0000-0000-00001C040000}"/>
    <cellStyle name="_H&amp;F_Head Office Pack - Draft 4" xfId="2069" xr:uid="{00000000-0005-0000-0000-00001D040000}"/>
    <cellStyle name="_H&amp;F_Property Budget 2011" xfId="2070" xr:uid="{00000000-0005-0000-0000-00001E040000}"/>
    <cellStyle name="_H&amp;F_Property Budget 2011_Covenants_draft_260412" xfId="2071" xr:uid="{00000000-0005-0000-0000-00001F040000}"/>
    <cellStyle name="_H&amp;F_Property Budget 2011_Marketing &amp; Product" xfId="2072" xr:uid="{00000000-0005-0000-0000-000020040000}"/>
    <cellStyle name="_H&amp;F_Sheet1" xfId="2073" xr:uid="{00000000-0005-0000-0000-000021040000}"/>
    <cellStyle name="_Head Office Pack - Draft 1" xfId="2074" xr:uid="{00000000-0005-0000-0000-000022040000}"/>
    <cellStyle name="_Head Office Pack - Draft 1_Covenants_draft_260412" xfId="2075" xr:uid="{00000000-0005-0000-0000-000023040000}"/>
    <cellStyle name="_Header" xfId="219" xr:uid="{00000000-0005-0000-0000-000024040000}"/>
    <cellStyle name="_Header_021202External Sales 2000_2001_DA_feste Werte" xfId="220" xr:uid="{00000000-0005-0000-0000-000025040000}"/>
    <cellStyle name="_Header_Balance Sheet_restl. Eurowährungsl._Gruppe" xfId="221" xr:uid="{00000000-0005-0000-0000-000026040000}"/>
    <cellStyle name="_Header_Bank case Viking (sent to JPM 10 Nov 05)" xfId="222" xr:uid="{00000000-0005-0000-0000-000027040000}"/>
    <cellStyle name="_Header_Banks (2)" xfId="223" xr:uid="{00000000-0005-0000-0000-000028040000}"/>
    <cellStyle name="_Header_EBITDA-Recon P&amp;L OPSP04-08_GX" xfId="224" xr:uid="{00000000-0005-0000-0000-000029040000}"/>
    <cellStyle name="_Header_Feeder" xfId="225" xr:uid="{00000000-0005-0000-0000-00002A040000}"/>
    <cellStyle name="_Header_Financial ratios_Euroland" xfId="226" xr:uid="{00000000-0005-0000-0000-00002B040000}"/>
    <cellStyle name="_Header_GX OPSP0509 incl. Zurückdrehen Subsidies NVM" xfId="227" xr:uid="{00000000-0005-0000-0000-00002C040000}"/>
    <cellStyle name="_Header_GX Plan" xfId="228" xr:uid="{00000000-0005-0000-0000-00002D040000}"/>
    <cellStyle name="_Header_Headcount" xfId="229" xr:uid="{00000000-0005-0000-0000-00002E040000}"/>
    <cellStyle name="_Header_Headcount_Monthly report" xfId="230" xr:uid="{00000000-0005-0000-0000-00002F040000}"/>
    <cellStyle name="_Header_Konsolidierungsbeträge" xfId="231" xr:uid="{00000000-0005-0000-0000-000030040000}"/>
    <cellStyle name="_Header_LTMJUN02" xfId="232" xr:uid="{00000000-0005-0000-0000-000031040000}"/>
    <cellStyle name="_Header_M&amp;A Model" xfId="233" xr:uid="{00000000-0005-0000-0000-000032040000}"/>
    <cellStyle name="_Header_M&amp;A projections" xfId="234" xr:uid="{00000000-0005-0000-0000-000033040000}"/>
    <cellStyle name="_Header_MIS Reporting_Budget_JD" xfId="235" xr:uid="{00000000-0005-0000-0000-000034040000}"/>
    <cellStyle name="_Header_New Gerresheimer bank plan (sent to JPM 26 Nov 05)" xfId="236" xr:uid="{00000000-0005-0000-0000-000035040000}"/>
    <cellStyle name="_Header_P&amp;L bank model - received from Gerresheimer 1 12 05" xfId="237" xr:uid="{00000000-0005-0000-0000-000036040000}"/>
    <cellStyle name="_Header_Plan model" xfId="238" xr:uid="{00000000-0005-0000-0000-000037040000}"/>
    <cellStyle name="_Header_Quarterly" xfId="239" xr:uid="{00000000-0005-0000-0000-000038040000}"/>
    <cellStyle name="_Header_Tabelle1" xfId="240" xr:uid="{00000000-0005-0000-0000-000039040000}"/>
    <cellStyle name="_Header_TSG2" xfId="241" xr:uid="{00000000-0005-0000-0000-00003A040000}"/>
    <cellStyle name="_Header_Update 2004 Figures v2 (sent to banks)" xfId="242" xr:uid="{00000000-0005-0000-0000-00003B040000}"/>
    <cellStyle name="_Header_WC benchmark Calc" xfId="243" xr:uid="{00000000-0005-0000-0000-00003C040000}"/>
    <cellStyle name="_Header_Zins und Bankschuldenberechnung_03_07" xfId="244" xr:uid="{00000000-0005-0000-0000-00003D040000}"/>
    <cellStyle name="_Heading" xfId="245" xr:uid="{00000000-0005-0000-0000-00003E040000}"/>
    <cellStyle name="_Heading_01 Capital Structure" xfId="2830" xr:uid="{00000000-0005-0000-0000-00003F040000}"/>
    <cellStyle name="_Heading_01 Capital Structure_03_ Clean LBO Model" xfId="2831" xr:uid="{00000000-0005-0000-0000-000040040000}"/>
    <cellStyle name="_Heading_01 Capital Structure_05_ Clean LBO Model" xfId="2832" xr:uid="{00000000-0005-0000-0000-000041040000}"/>
    <cellStyle name="_Heading_01 Capital Structure_08 Valuation Model incl. new BP" xfId="2833" xr:uid="{00000000-0005-0000-0000-000042040000}"/>
    <cellStyle name="_Heading_01 Capital Structure_09 Valuation Model incl. new BP" xfId="2834" xr:uid="{00000000-0005-0000-0000-000043040000}"/>
    <cellStyle name="_Heading_01 Capital Structure_13 Valuation Model incl. new BP" xfId="2835" xr:uid="{00000000-0005-0000-0000-000044040000}"/>
    <cellStyle name="_Heading_01 Capital Structure_14 Valuation Model incl. new BP" xfId="2836" xr:uid="{00000000-0005-0000-0000-000045040000}"/>
    <cellStyle name="_Heading_01 Capital Structure_15_ Clean LBO Model" xfId="2837" xr:uid="{00000000-0005-0000-0000-000046040000}"/>
    <cellStyle name="_Heading_01 Capital Structure_20 Valuation Model incl. new BP" xfId="2838" xr:uid="{00000000-0005-0000-0000-000047040000}"/>
    <cellStyle name="_Heading_01 Capital Structure_25 Valuation Model incl. new BP" xfId="2839" xr:uid="{00000000-0005-0000-0000-000048040000}"/>
    <cellStyle name="_Heading_01 Capital Structure_33 Valuation Model incl. new BP" xfId="2840" xr:uid="{00000000-0005-0000-0000-000049040000}"/>
    <cellStyle name="_Heading_01 Capital Structure_34 Valuation Model incl. new BP" xfId="2841" xr:uid="{00000000-0005-0000-0000-00004A040000}"/>
    <cellStyle name="_Heading_01 Capital Structure_37 Valuation Model incl. new BP" xfId="2842" xr:uid="{00000000-0005-0000-0000-00004B040000}"/>
    <cellStyle name="_Heading_01 Capital Structure_38 Valuation Model incl. new BP" xfId="2843" xr:uid="{00000000-0005-0000-0000-00004C040000}"/>
    <cellStyle name="_Heading_01 Capital Structure_39 Valuation Model incl. new BP" xfId="2844" xr:uid="{00000000-0005-0000-0000-00004D040000}"/>
    <cellStyle name="_Heading_01 Capital Structure_40 Valuation Model incl. new BP" xfId="2845" xr:uid="{00000000-0005-0000-0000-00004E040000}"/>
    <cellStyle name="_Heading_01 Capital Structure_44 Valuation Model incl. new BP" xfId="2846" xr:uid="{00000000-0005-0000-0000-00004F040000}"/>
    <cellStyle name="_Heading_01 Offering Breakdown" xfId="2847" xr:uid="{00000000-0005-0000-0000-000050040000}"/>
    <cellStyle name="_Heading_02 Enersys Merger Plan" xfId="2848" xr:uid="{00000000-0005-0000-0000-000051040000}"/>
    <cellStyle name="_Heading_02 Enersys Merger Plan_03_ Clean LBO Model" xfId="2849" xr:uid="{00000000-0005-0000-0000-000052040000}"/>
    <cellStyle name="_Heading_02 Enersys Merger Plan_05_ Clean LBO Model" xfId="2850" xr:uid="{00000000-0005-0000-0000-000053040000}"/>
    <cellStyle name="_Heading_02 Enersys Merger Plan_08 Valuation Model incl. new BP" xfId="2851" xr:uid="{00000000-0005-0000-0000-000054040000}"/>
    <cellStyle name="_Heading_02 Enersys Merger Plan_09 Valuation Model incl. new BP" xfId="2852" xr:uid="{00000000-0005-0000-0000-000055040000}"/>
    <cellStyle name="_Heading_02 Enersys Merger Plan_13 Valuation Model incl. new BP" xfId="2853" xr:uid="{00000000-0005-0000-0000-000056040000}"/>
    <cellStyle name="_Heading_02 Enersys Merger Plan_14 Valuation Model incl. new BP" xfId="2854" xr:uid="{00000000-0005-0000-0000-000057040000}"/>
    <cellStyle name="_Heading_02 Enersys Merger Plan_15_ Clean LBO Model" xfId="2855" xr:uid="{00000000-0005-0000-0000-000058040000}"/>
    <cellStyle name="_Heading_02 Enersys Merger Plan_20 Valuation Model incl. new BP" xfId="2856" xr:uid="{00000000-0005-0000-0000-000059040000}"/>
    <cellStyle name="_Heading_02 Enersys Merger Plan_25 Valuation Model incl. new BP" xfId="2857" xr:uid="{00000000-0005-0000-0000-00005A040000}"/>
    <cellStyle name="_Heading_02 Enersys Merger Plan_33 Valuation Model incl. new BP" xfId="2858" xr:uid="{00000000-0005-0000-0000-00005B040000}"/>
    <cellStyle name="_Heading_02 Enersys Merger Plan_34 Valuation Model incl. new BP" xfId="2859" xr:uid="{00000000-0005-0000-0000-00005C040000}"/>
    <cellStyle name="_Heading_02 Enersys Merger Plan_37 Valuation Model incl. new BP" xfId="2860" xr:uid="{00000000-0005-0000-0000-00005D040000}"/>
    <cellStyle name="_Heading_02 Enersys Merger Plan_38 Valuation Model incl. new BP" xfId="2861" xr:uid="{00000000-0005-0000-0000-00005E040000}"/>
    <cellStyle name="_Heading_02 Enersys Merger Plan_39 Valuation Model incl. new BP" xfId="2862" xr:uid="{00000000-0005-0000-0000-00005F040000}"/>
    <cellStyle name="_Heading_02 Enersys Merger Plan_40 Valuation Model incl. new BP" xfId="2863" xr:uid="{00000000-0005-0000-0000-000060040000}"/>
    <cellStyle name="_Heading_02 Enersys Merger Plan_44 Valuation Model incl. new BP" xfId="2864" xr:uid="{00000000-0005-0000-0000-000061040000}"/>
    <cellStyle name="_Heading_02 TDC Merger Plan" xfId="2865" xr:uid="{00000000-0005-0000-0000-000062040000}"/>
    <cellStyle name="_Heading_02 TDC Merger Plan_03_ Clean LBO Model" xfId="2866" xr:uid="{00000000-0005-0000-0000-000063040000}"/>
    <cellStyle name="_Heading_02 TDC Merger Plan_05_ Clean LBO Model" xfId="2867" xr:uid="{00000000-0005-0000-0000-000064040000}"/>
    <cellStyle name="_Heading_02 TDC Merger Plan_08 Valuation Model incl. new BP" xfId="2868" xr:uid="{00000000-0005-0000-0000-000065040000}"/>
    <cellStyle name="_Heading_02 TDC Merger Plan_09 Valuation Model incl. new BP" xfId="2869" xr:uid="{00000000-0005-0000-0000-000066040000}"/>
    <cellStyle name="_Heading_02 TDC Merger Plan_13 Valuation Model incl. new BP" xfId="2870" xr:uid="{00000000-0005-0000-0000-000067040000}"/>
    <cellStyle name="_Heading_02 TDC Merger Plan_14 Valuation Model incl. new BP" xfId="2871" xr:uid="{00000000-0005-0000-0000-000068040000}"/>
    <cellStyle name="_Heading_02 TDC Merger Plan_15_ Clean LBO Model" xfId="2872" xr:uid="{00000000-0005-0000-0000-000069040000}"/>
    <cellStyle name="_Heading_02 TDC Merger Plan_20 Valuation Model incl. new BP" xfId="2873" xr:uid="{00000000-0005-0000-0000-00006A040000}"/>
    <cellStyle name="_Heading_02 TDC Merger Plan_25 Valuation Model incl. new BP" xfId="2874" xr:uid="{00000000-0005-0000-0000-00006B040000}"/>
    <cellStyle name="_Heading_02 TDC Merger Plan_33 Valuation Model incl. new BP" xfId="2875" xr:uid="{00000000-0005-0000-0000-00006C040000}"/>
    <cellStyle name="_Heading_02 TDC Merger Plan_34 Valuation Model incl. new BP" xfId="2876" xr:uid="{00000000-0005-0000-0000-00006D040000}"/>
    <cellStyle name="_Heading_02 TDC Merger Plan_37 Valuation Model incl. new BP" xfId="2877" xr:uid="{00000000-0005-0000-0000-00006E040000}"/>
    <cellStyle name="_Heading_02 TDC Merger Plan_38 Valuation Model incl. new BP" xfId="2878" xr:uid="{00000000-0005-0000-0000-00006F040000}"/>
    <cellStyle name="_Heading_02 TDC Merger Plan_39 Valuation Model incl. new BP" xfId="2879" xr:uid="{00000000-0005-0000-0000-000070040000}"/>
    <cellStyle name="_Heading_02 TDC Merger Plan_40 Valuation Model incl. new BP" xfId="2880" xr:uid="{00000000-0005-0000-0000-000071040000}"/>
    <cellStyle name="_Heading_02 TDC Merger Plan_44 Valuation Model incl. new BP" xfId="2881" xr:uid="{00000000-0005-0000-0000-000072040000}"/>
    <cellStyle name="_Heading_02 WACC Analysis" xfId="246" xr:uid="{00000000-0005-0000-0000-000073040000}"/>
    <cellStyle name="_Heading_03 Total Expenses" xfId="2882" xr:uid="{00000000-0005-0000-0000-000074040000}"/>
    <cellStyle name="_Heading_04 Volatility" xfId="2883" xr:uid="{00000000-0005-0000-0000-000075040000}"/>
    <cellStyle name="_Heading_16 Detail of Key Metrics_mario marco" xfId="2076" xr:uid="{00000000-0005-0000-0000-000076040000}"/>
    <cellStyle name="_Heading_19 Valuation of Cegetel" xfId="2884" xr:uid="{00000000-0005-0000-0000-000077040000}"/>
    <cellStyle name="_Heading_19 Valuation of Cegetel_03_ Clean LBO Model" xfId="2885" xr:uid="{00000000-0005-0000-0000-000078040000}"/>
    <cellStyle name="_Heading_19 Valuation of Cegetel_05_ Clean LBO Model" xfId="2886" xr:uid="{00000000-0005-0000-0000-000079040000}"/>
    <cellStyle name="_Heading_19 Valuation of Cegetel_08 Valuation Model incl. new BP" xfId="2887" xr:uid="{00000000-0005-0000-0000-00007A040000}"/>
    <cellStyle name="_Heading_19 Valuation of Cegetel_09 Valuation Model incl. new BP" xfId="2888" xr:uid="{00000000-0005-0000-0000-00007B040000}"/>
    <cellStyle name="_Heading_19 Valuation of Cegetel_13 Valuation Model incl. new BP" xfId="2889" xr:uid="{00000000-0005-0000-0000-00007C040000}"/>
    <cellStyle name="_Heading_19 Valuation of Cegetel_14 Valuation Model incl. new BP" xfId="2890" xr:uid="{00000000-0005-0000-0000-00007D040000}"/>
    <cellStyle name="_Heading_19 Valuation of Cegetel_15_ Clean LBO Model" xfId="2891" xr:uid="{00000000-0005-0000-0000-00007E040000}"/>
    <cellStyle name="_Heading_19 Valuation of Cegetel_20 Valuation Model incl. new BP" xfId="2892" xr:uid="{00000000-0005-0000-0000-00007F040000}"/>
    <cellStyle name="_Heading_19 Valuation of Cegetel_25 Valuation Model incl. new BP" xfId="2893" xr:uid="{00000000-0005-0000-0000-000080040000}"/>
    <cellStyle name="_Heading_19 Valuation of Cegetel_33 Valuation Model incl. new BP" xfId="2894" xr:uid="{00000000-0005-0000-0000-000081040000}"/>
    <cellStyle name="_Heading_19 Valuation of Cegetel_34 Valuation Model incl. new BP" xfId="2895" xr:uid="{00000000-0005-0000-0000-000082040000}"/>
    <cellStyle name="_Heading_19 Valuation of Cegetel_37 Valuation Model incl. new BP" xfId="2896" xr:uid="{00000000-0005-0000-0000-000083040000}"/>
    <cellStyle name="_Heading_19 Valuation of Cegetel_38 Valuation Model incl. new BP" xfId="2897" xr:uid="{00000000-0005-0000-0000-000084040000}"/>
    <cellStyle name="_Heading_19 Valuation of Cegetel_39 Valuation Model incl. new BP" xfId="2898" xr:uid="{00000000-0005-0000-0000-000085040000}"/>
    <cellStyle name="_Heading_19 Valuation of Cegetel_40 Valuation Model incl. new BP" xfId="2899" xr:uid="{00000000-0005-0000-0000-000086040000}"/>
    <cellStyle name="_Heading_19 Valuation of Cegetel_44 Valuation Model incl. new BP" xfId="2900" xr:uid="{00000000-0005-0000-0000-000087040000}"/>
    <cellStyle name="_Heading_20 Operational Model" xfId="2901" xr:uid="{00000000-0005-0000-0000-000088040000}"/>
    <cellStyle name="_Heading_44 Valuation Model incl. new BP" xfId="2902" xr:uid="{00000000-0005-0000-0000-000089040000}"/>
    <cellStyle name="_Heading_Betas" xfId="247" xr:uid="{00000000-0005-0000-0000-00008A040000}"/>
    <cellStyle name="_Heading_Cairo LBO model - Sept 06" xfId="248" xr:uid="{00000000-0005-0000-0000-00008B040000}"/>
    <cellStyle name="_Heading_Numico GS Research Model 23-Aug-2002" xfId="2903" xr:uid="{00000000-0005-0000-0000-00008C040000}"/>
    <cellStyle name="_Heading_Numico GS Research Model 23-Aug-2002_03_ Clean LBO Model" xfId="2904" xr:uid="{00000000-0005-0000-0000-00008D040000}"/>
    <cellStyle name="_Heading_Numico GS Research Model 23-Aug-2002_05_ Clean LBO Model" xfId="2905" xr:uid="{00000000-0005-0000-0000-00008E040000}"/>
    <cellStyle name="_Heading_Numico GS Research Model 23-Aug-2002_08 Valuation Model incl. new BP" xfId="2906" xr:uid="{00000000-0005-0000-0000-00008F040000}"/>
    <cellStyle name="_Heading_Numico GS Research Model 23-Aug-2002_09 Valuation Model incl. new BP" xfId="2907" xr:uid="{00000000-0005-0000-0000-000090040000}"/>
    <cellStyle name="_Heading_Numico GS Research Model 23-Aug-2002_13 Valuation Model incl. new BP" xfId="2908" xr:uid="{00000000-0005-0000-0000-000091040000}"/>
    <cellStyle name="_Heading_Numico GS Research Model 23-Aug-2002_14 Valuation Model incl. new BP" xfId="2909" xr:uid="{00000000-0005-0000-0000-000092040000}"/>
    <cellStyle name="_Heading_Numico GS Research Model 23-Aug-2002_15_ Clean LBO Model" xfId="2910" xr:uid="{00000000-0005-0000-0000-000093040000}"/>
    <cellStyle name="_Heading_Numico GS Research Model 23-Aug-2002_20 Valuation Model incl. new BP" xfId="2911" xr:uid="{00000000-0005-0000-0000-000094040000}"/>
    <cellStyle name="_Heading_Numico GS Research Model 23-Aug-2002_25 Valuation Model incl. new BP" xfId="2912" xr:uid="{00000000-0005-0000-0000-000095040000}"/>
    <cellStyle name="_Heading_Numico GS Research Model 23-Aug-2002_33 Valuation Model incl. new BP" xfId="2913" xr:uid="{00000000-0005-0000-0000-000096040000}"/>
    <cellStyle name="_Heading_Numico GS Research Model 23-Aug-2002_34 Valuation Model incl. new BP" xfId="2914" xr:uid="{00000000-0005-0000-0000-000097040000}"/>
    <cellStyle name="_Heading_Numico GS Research Model 23-Aug-2002_37 Valuation Model incl. new BP" xfId="2915" xr:uid="{00000000-0005-0000-0000-000098040000}"/>
    <cellStyle name="_Heading_Numico GS Research Model 23-Aug-2002_38 Valuation Model incl. new BP" xfId="2916" xr:uid="{00000000-0005-0000-0000-000099040000}"/>
    <cellStyle name="_Heading_Numico GS Research Model 23-Aug-2002_39 Valuation Model incl. new BP" xfId="2917" xr:uid="{00000000-0005-0000-0000-00009A040000}"/>
    <cellStyle name="_Heading_Numico GS Research Model 23-Aug-2002_40 Valuation Model incl. new BP" xfId="2918" xr:uid="{00000000-0005-0000-0000-00009B040000}"/>
    <cellStyle name="_Heading_Numico GS Research Model 23-Aug-2002_44 Valuation Model incl. new BP" xfId="2919" xr:uid="{00000000-0005-0000-0000-00009C040000}"/>
    <cellStyle name="_Heading_Numico GS Research Model 23-Aug-2002_CSC July 24" xfId="2920" xr:uid="{00000000-0005-0000-0000-00009D040000}"/>
    <cellStyle name="_Heading_Offering Breakdown - 09-Jun -2005" xfId="2921" xr:uid="{00000000-0005-0000-0000-00009E040000}"/>
    <cellStyle name="_Heading_prestemp" xfId="249" xr:uid="{00000000-0005-0000-0000-00009F040000}"/>
    <cellStyle name="_Heading_StockGroupKeyFinancials" xfId="250" xr:uid="{00000000-0005-0000-0000-0000A0040000}"/>
    <cellStyle name="_Heading_Volatility" xfId="2922" xr:uid="{00000000-0005-0000-0000-0000A1040000}"/>
    <cellStyle name="_Headline" xfId="2923" xr:uid="{00000000-0005-0000-0000-0000A2040000}"/>
    <cellStyle name="_Highlight" xfId="251" xr:uid="{00000000-0005-0000-0000-0000A3040000}"/>
    <cellStyle name="_IT Budget detail" xfId="2077" xr:uid="{00000000-0005-0000-0000-0000A4040000}"/>
    <cellStyle name="_JV Model2" xfId="252" xr:uid="{00000000-0005-0000-0000-0000A5040000}"/>
    <cellStyle name="_KPN Fixed" xfId="2924" xr:uid="{00000000-0005-0000-0000-0000A6040000}"/>
    <cellStyle name="_KPN-germany" xfId="2925" xr:uid="{00000000-0005-0000-0000-0000A7040000}"/>
    <cellStyle name="_KPN-germany_CSC July 24" xfId="2926" xr:uid="{00000000-0005-0000-0000-0000A8040000}"/>
    <cellStyle name="_KPN-germany_CSC July 24_03_ Clean LBO Model" xfId="2927" xr:uid="{00000000-0005-0000-0000-0000A9040000}"/>
    <cellStyle name="_KPN-germany_CSC July 24_05_ Clean LBO Model" xfId="2928" xr:uid="{00000000-0005-0000-0000-0000AA040000}"/>
    <cellStyle name="_KPN-germany_CSC July 24_08 Valuation Model incl. new BP" xfId="2929" xr:uid="{00000000-0005-0000-0000-0000AB040000}"/>
    <cellStyle name="_KPN-germany_CSC July 24_09 Valuation Model incl. new BP" xfId="2930" xr:uid="{00000000-0005-0000-0000-0000AC040000}"/>
    <cellStyle name="_KPN-germany_CSC July 24_13 Valuation Model incl. new BP" xfId="2931" xr:uid="{00000000-0005-0000-0000-0000AD040000}"/>
    <cellStyle name="_KPN-germany_CSC July 24_14 Valuation Model incl. new BP" xfId="2932" xr:uid="{00000000-0005-0000-0000-0000AE040000}"/>
    <cellStyle name="_KPN-germany_CSC July 24_15_ Clean LBO Model" xfId="2933" xr:uid="{00000000-0005-0000-0000-0000AF040000}"/>
    <cellStyle name="_KPN-germany_CSC July 24_20 Valuation Model incl. new BP" xfId="2934" xr:uid="{00000000-0005-0000-0000-0000B0040000}"/>
    <cellStyle name="_KPN-germany_CSC July 24_25 Valuation Model incl. new BP" xfId="2935" xr:uid="{00000000-0005-0000-0000-0000B1040000}"/>
    <cellStyle name="_KPN-germany_CSC July 24_33 Valuation Model incl. new BP" xfId="2936" xr:uid="{00000000-0005-0000-0000-0000B2040000}"/>
    <cellStyle name="_KPN-germany_CSC July 24_34 Valuation Model incl. new BP" xfId="2937" xr:uid="{00000000-0005-0000-0000-0000B3040000}"/>
    <cellStyle name="_KPN-germany_CSC July 24_37 Valuation Model incl. new BP" xfId="2938" xr:uid="{00000000-0005-0000-0000-0000B4040000}"/>
    <cellStyle name="_KPN-germany_CSC July 24_38 Valuation Model incl. new BP" xfId="2939" xr:uid="{00000000-0005-0000-0000-0000B5040000}"/>
    <cellStyle name="_KPN-germany_CSC July 24_39 Valuation Model incl. new BP" xfId="2940" xr:uid="{00000000-0005-0000-0000-0000B6040000}"/>
    <cellStyle name="_KPN-germany_CSC July 24_40 Valuation Model incl. new BP" xfId="2941" xr:uid="{00000000-0005-0000-0000-0000B7040000}"/>
    <cellStyle name="_KPN-germany_CSC July 24_44 Valuation Model incl. new BP" xfId="2942" xr:uid="{00000000-0005-0000-0000-0000B8040000}"/>
    <cellStyle name="_labour pg for 2010 club model" xfId="2078" xr:uid="{00000000-0005-0000-0000-0000B9040000}"/>
    <cellStyle name="_labour pg for 2010 club model_Covenants_draft_260412" xfId="2079" xr:uid="{00000000-0005-0000-0000-0000BA040000}"/>
    <cellStyle name="_labour pg for 2010 club model_Head Office Pack - Draft 1" xfId="2080" xr:uid="{00000000-0005-0000-0000-0000BB040000}"/>
    <cellStyle name="_labour pg for 2010 club model_Head Office Pack - Draft 4" xfId="2081" xr:uid="{00000000-0005-0000-0000-0000BC040000}"/>
    <cellStyle name="_labour pg for 2010 club model_Sheet1" xfId="2082" xr:uid="{00000000-0005-0000-0000-0000BD040000}"/>
    <cellStyle name="_LBOCombOpCo_v72_Anglo" xfId="2083" xr:uid="{00000000-0005-0000-0000-0000BE040000}"/>
    <cellStyle name="_Leeds_2010_Rates" xfId="2084" xr:uid="{00000000-0005-0000-0000-0000BF040000}"/>
    <cellStyle name="_Leeds_2010_Rates_Book2" xfId="2085" xr:uid="{00000000-0005-0000-0000-0000C0040000}"/>
    <cellStyle name="_Leeds_2010_Rates_Covenants_draft_260412" xfId="2086" xr:uid="{00000000-0005-0000-0000-0000C1040000}"/>
    <cellStyle name="_Leeds_2010_Rates_Internal" xfId="2087" xr:uid="{00000000-0005-0000-0000-0000C2040000}"/>
    <cellStyle name="_Leeds_2010_Rates_Internal 1" xfId="2088" xr:uid="{00000000-0005-0000-0000-0000C3040000}"/>
    <cellStyle name="_Leeds_2010_Rates_Internal 1_Projections Pack" xfId="2089" xr:uid="{00000000-0005-0000-0000-0000C4040000}"/>
    <cellStyle name="_Leeds_2010_Rates_Internal 1_Projections Pack (TM)" xfId="2090" xr:uid="{00000000-0005-0000-0000-0000C5040000}"/>
    <cellStyle name="_Leeds_2010_Rates_Internal 1_Quasi Rent Illustration" xfId="2091" xr:uid="{00000000-0005-0000-0000-0000C6040000}"/>
    <cellStyle name="_Leeds_2010_Rates_Internal_Projections Pack" xfId="2092" xr:uid="{00000000-0005-0000-0000-0000C7040000}"/>
    <cellStyle name="_Leeds_2010_Rates_Internal_Projections Pack (TM)" xfId="2093" xr:uid="{00000000-0005-0000-0000-0000C8040000}"/>
    <cellStyle name="_Leeds_2010_Rates_Internal_Quasi Rent Illustration" xfId="2094" xr:uid="{00000000-0005-0000-0000-0000C9040000}"/>
    <cellStyle name="_Leeds_2010_Rates_PAR overlay" xfId="2095" xr:uid="{00000000-0005-0000-0000-0000CA040000}"/>
    <cellStyle name="_Leeds_2010_Rates_PAR overlay_Projections Pack" xfId="2096" xr:uid="{00000000-0005-0000-0000-0000CB040000}"/>
    <cellStyle name="_Leeds_2010_Rates_PAR overlay_Projections Pack (TM)" xfId="2097" xr:uid="{00000000-0005-0000-0000-0000CC040000}"/>
    <cellStyle name="_Leeds_2010_Rates_PAR overlay_Quasi Rent Illustration" xfId="2098" xr:uid="{00000000-0005-0000-0000-0000CD040000}"/>
    <cellStyle name="_Leeds_2010_Rates_Sceanrio 2 Update - Dec 2nd" xfId="2099" xr:uid="{00000000-0005-0000-0000-0000CE040000}"/>
    <cellStyle name="_Leeds_2010_Rates_Sceanrio 2 Update - Dec 2nd_Projections Pack" xfId="2100" xr:uid="{00000000-0005-0000-0000-0000CF040000}"/>
    <cellStyle name="_Leeds_2010_Rates_Sceanrio 2 Update - Dec 2nd_Projections Pack (TM)" xfId="2101" xr:uid="{00000000-0005-0000-0000-0000D0040000}"/>
    <cellStyle name="_Leeds_2010_Rates_Sceanrio 2 Update - Dec 2nd_Quasi Rent Illustration" xfId="2102" xr:uid="{00000000-0005-0000-0000-0000D1040000}"/>
    <cellStyle name="_Licences" xfId="2103" xr:uid="{00000000-0005-0000-0000-0000D2040000}"/>
    <cellStyle name="_Licences_Covenants_draft_260412" xfId="2104" xr:uid="{00000000-0005-0000-0000-0000D3040000}"/>
    <cellStyle name="_Licences_Head Office Pack - Draft 1" xfId="2105" xr:uid="{00000000-0005-0000-0000-0000D4040000}"/>
    <cellStyle name="_Licences_Head Office Pack - Draft 4" xfId="2106" xr:uid="{00000000-0005-0000-0000-0000D5040000}"/>
    <cellStyle name="_Licences_Sheet1" xfId="2107" xr:uid="{00000000-0005-0000-0000-0000D6040000}"/>
    <cellStyle name="_Mal for innhenting av estimater Q4- 2002" xfId="253" xr:uid="{00000000-0005-0000-0000-0000D7040000}"/>
    <cellStyle name="_MD 1 model_blank_Augustin" xfId="254" xr:uid="{00000000-0005-0000-0000-0000D8040000}"/>
    <cellStyle name="_MTU Diesel LBO Model" xfId="255" xr:uid="{00000000-0005-0000-0000-0000D9040000}"/>
    <cellStyle name="_Multiple" xfId="256" xr:uid="{00000000-0005-0000-0000-0000DA040000}"/>
    <cellStyle name="_Multiple 5" xfId="3631" xr:uid="{00000000-0005-0000-0000-0000DB040000}"/>
    <cellStyle name="_Multiple_Betas" xfId="257" xr:uid="{00000000-0005-0000-0000-0000DC040000}"/>
    <cellStyle name="_Multiple_Betas as of 18-Apr-20022" xfId="258" xr:uid="{00000000-0005-0000-0000-0000DD040000}"/>
    <cellStyle name="_Multiple_Draft funds flow - 7 June 2005" xfId="2943" xr:uid="{00000000-0005-0000-0000-0000DE040000}"/>
    <cellStyle name="_Multiple_EXPN" xfId="259" xr:uid="{00000000-0005-0000-0000-0000DF040000}"/>
    <cellStyle name="_Multiple_MD 1 model_blank_Augustin" xfId="260" xr:uid="{00000000-0005-0000-0000-0000E0040000}"/>
    <cellStyle name="_Multiple_Offering Breakdown - 09-Jun -2005" xfId="2944" xr:uid="{00000000-0005-0000-0000-0000E1040000}"/>
    <cellStyle name="_Multiple_Offering Breakdown - 09-Jun -2005 updated" xfId="2945" xr:uid="{00000000-0005-0000-0000-0000E2040000}"/>
    <cellStyle name="_Multiple_Offering Breakdown - 19-Jun -2005 updated" xfId="2946" xr:uid="{00000000-0005-0000-0000-0000E3040000}"/>
    <cellStyle name="_Multiple_pi5" xfId="2947" xr:uid="{00000000-0005-0000-0000-0000E4040000}"/>
    <cellStyle name="_Multiple_surbid4 cloture" xfId="2948" xr:uid="{00000000-0005-0000-0000-0000E5040000}"/>
    <cellStyle name="_Multiple_surbid4 cloture_1" xfId="2949" xr:uid="{00000000-0005-0000-0000-0000E6040000}"/>
    <cellStyle name="_Multiple_surbid4 cloture_1_noos 2001 results 11jul01" xfId="2950" xr:uid="{00000000-0005-0000-0000-0000E7040000}"/>
    <cellStyle name="_Multiple_tropicos5" xfId="2951" xr:uid="{00000000-0005-0000-0000-0000E8040000}"/>
    <cellStyle name="_Multiple_voice1.xls Chart 1" xfId="2952" xr:uid="{00000000-0005-0000-0000-0000E9040000}"/>
    <cellStyle name="_Multiple_wacc" xfId="2953" xr:uid="{00000000-0005-0000-0000-0000EA040000}"/>
    <cellStyle name="_Multiple_wacc bb final" xfId="261" xr:uid="{00000000-0005-0000-0000-0000EB040000}"/>
    <cellStyle name="_Multiple_wacc bb final_Feeder" xfId="262" xr:uid="{00000000-0005-0000-0000-0000EC040000}"/>
    <cellStyle name="_Multiple_wacc bb final_M&amp;A Model" xfId="263" xr:uid="{00000000-0005-0000-0000-0000ED040000}"/>
    <cellStyle name="_MultipleSpace" xfId="264" xr:uid="{00000000-0005-0000-0000-0000EE040000}"/>
    <cellStyle name="_MultipleSpace_Betas" xfId="265" xr:uid="{00000000-0005-0000-0000-0000EF040000}"/>
    <cellStyle name="_MultipleSpace_Betas as of 18-Apr-20022" xfId="266" xr:uid="{00000000-0005-0000-0000-0000F0040000}"/>
    <cellStyle name="_MultipleSpace_Draft funds flow - 7 June 2005" xfId="2954" xr:uid="{00000000-0005-0000-0000-0000F1040000}"/>
    <cellStyle name="_MultipleSpace_EXPN" xfId="267" xr:uid="{00000000-0005-0000-0000-0000F2040000}"/>
    <cellStyle name="_MultipleSpace_George - LBO Model 3.1" xfId="268" xr:uid="{00000000-0005-0000-0000-0000F3040000}"/>
    <cellStyle name="_MultipleSpace_George - LBO Model 3.1_Feeder" xfId="269" xr:uid="{00000000-0005-0000-0000-0000F4040000}"/>
    <cellStyle name="_MultipleSpace_George - LBO Model 3.1_M&amp;A Model" xfId="270" xr:uid="{00000000-0005-0000-0000-0000F5040000}"/>
    <cellStyle name="_MultipleSpace_MD 1 model_blank_Augustin" xfId="271" xr:uid="{00000000-0005-0000-0000-0000F6040000}"/>
    <cellStyle name="_MultipleSpace_noos 2001 results 11jul01" xfId="2955" xr:uid="{00000000-0005-0000-0000-0000F7040000}"/>
    <cellStyle name="_MultipleSpace_Novartis-Roche 0805 v2" xfId="272" xr:uid="{00000000-0005-0000-0000-0000F8040000}"/>
    <cellStyle name="_MultipleSpace_Offering Breakdown - 09-Jun -2005" xfId="2956" xr:uid="{00000000-0005-0000-0000-0000F9040000}"/>
    <cellStyle name="_MultipleSpace_Offering Breakdown - 09-Jun -2005 updated" xfId="2957" xr:uid="{00000000-0005-0000-0000-0000FA040000}"/>
    <cellStyle name="_MultipleSpace_Offering Breakdown - 19-Jun -2005 updated" xfId="2958" xr:uid="{00000000-0005-0000-0000-0000FB040000}"/>
    <cellStyle name="_MultipleSpace_pi5" xfId="2959" xr:uid="{00000000-0005-0000-0000-0000FC040000}"/>
    <cellStyle name="_MultipleSpace_surbid4 cloture" xfId="2960" xr:uid="{00000000-0005-0000-0000-0000FD040000}"/>
    <cellStyle name="_MultipleSpace_surbid4 cloture_1" xfId="2961" xr:uid="{00000000-0005-0000-0000-0000FE040000}"/>
    <cellStyle name="_MultipleSpace_surbid4 cloture_1_noos 2001 results 11jul01" xfId="2962" xr:uid="{00000000-0005-0000-0000-0000FF040000}"/>
    <cellStyle name="_MultipleSpace_tropicos5" xfId="2963" xr:uid="{00000000-0005-0000-0000-000000050000}"/>
    <cellStyle name="_MultipleSpace_voice1.xls Chart 1" xfId="2964" xr:uid="{00000000-0005-0000-0000-000001050000}"/>
    <cellStyle name="_MultipleSpace_wacc" xfId="2965" xr:uid="{00000000-0005-0000-0000-000002050000}"/>
    <cellStyle name="_MultipleSpace_wacc bb final" xfId="273" xr:uid="{00000000-0005-0000-0000-000003050000}"/>
    <cellStyle name="_MultipleSpace_wacc bb final_Feeder" xfId="274" xr:uid="{00000000-0005-0000-0000-000004050000}"/>
    <cellStyle name="_MultipleSpace_wacc bb final_George - LBO Model 3.1" xfId="275" xr:uid="{00000000-0005-0000-0000-000005050000}"/>
    <cellStyle name="_MultipleSpace_wacc bb final_George - LBO Model 3.1_Feeder" xfId="276" xr:uid="{00000000-0005-0000-0000-000006050000}"/>
    <cellStyle name="_MultipleSpace_wacc bb final_George - LBO Model 3.1_M&amp;A Model" xfId="277" xr:uid="{00000000-0005-0000-0000-000007050000}"/>
    <cellStyle name="_MultipleSpace_wacc bb final_M&amp;A Model" xfId="278" xr:uid="{00000000-0005-0000-0000-000008050000}"/>
    <cellStyle name="_NoData" xfId="279" xr:uid="{00000000-0005-0000-0000-000009050000}"/>
    <cellStyle name="_North East &amp; Midlands" xfId="2108" xr:uid="{00000000-0005-0000-0000-00000A050000}"/>
    <cellStyle name="_North East &amp; Midlands_Covenants_draft_260412" xfId="2109" xr:uid="{00000000-0005-0000-0000-00000B050000}"/>
    <cellStyle name="_North East &amp; Midlands_Head Office Pack - Draft 1" xfId="2110" xr:uid="{00000000-0005-0000-0000-00000C050000}"/>
    <cellStyle name="_North East &amp; Midlands_Head Office Pack - Draft 4" xfId="2111" xr:uid="{00000000-0005-0000-0000-00000D050000}"/>
    <cellStyle name="_North East &amp; Midlands_Property Budget 2011" xfId="2112" xr:uid="{00000000-0005-0000-0000-00000E050000}"/>
    <cellStyle name="_North East &amp; Midlands_Property Budget 2011_Covenants_draft_260412" xfId="2113" xr:uid="{00000000-0005-0000-0000-00000F050000}"/>
    <cellStyle name="_North East &amp; Midlands_Property Budget 2011_Marketing &amp; Product" xfId="2114" xr:uid="{00000000-0005-0000-0000-000010050000}"/>
    <cellStyle name="_North East &amp; Midlands_Sheet1" xfId="2115" xr:uid="{00000000-0005-0000-0000-000011050000}"/>
    <cellStyle name="_October Scorecard" xfId="2116" xr:uid="{00000000-0005-0000-0000-000012050000}"/>
    <cellStyle name="_Pay as you Can logic for LBO" xfId="280" xr:uid="{00000000-0005-0000-0000-000013050000}"/>
    <cellStyle name="_Percent" xfId="281" xr:uid="{00000000-0005-0000-0000-000014050000}"/>
    <cellStyle name="_Percent_pi5" xfId="2966" xr:uid="{00000000-0005-0000-0000-000015050000}"/>
    <cellStyle name="_Percent_surbid4 cloture" xfId="2967" xr:uid="{00000000-0005-0000-0000-000016050000}"/>
    <cellStyle name="_Percent_surbid4 cloture_noos 2001 results 11jul01" xfId="2968" xr:uid="{00000000-0005-0000-0000-000017050000}"/>
    <cellStyle name="_Percent_temp templates2" xfId="282" xr:uid="{00000000-0005-0000-0000-000018050000}"/>
    <cellStyle name="_Percent_tropicos5" xfId="2969" xr:uid="{00000000-0005-0000-0000-000019050000}"/>
    <cellStyle name="_Percent_voice1.xls Chart 1" xfId="2970" xr:uid="{00000000-0005-0000-0000-00001A050000}"/>
    <cellStyle name="_Percent_wacc" xfId="2971" xr:uid="{00000000-0005-0000-0000-00001B050000}"/>
    <cellStyle name="_PercentSpace" xfId="283" xr:uid="{00000000-0005-0000-0000-00001C050000}"/>
    <cellStyle name="_PercentSpace_George - LBO Model 3.1" xfId="284" xr:uid="{00000000-0005-0000-0000-00001D050000}"/>
    <cellStyle name="_PercentSpace_pi5" xfId="2972" xr:uid="{00000000-0005-0000-0000-00001E050000}"/>
    <cellStyle name="_PercentSpace_surbid4 cloture" xfId="2973" xr:uid="{00000000-0005-0000-0000-00001F050000}"/>
    <cellStyle name="_PercentSpace_surbid4 cloture_1" xfId="2974" xr:uid="{00000000-0005-0000-0000-000020050000}"/>
    <cellStyle name="_PercentSpace_surbid4 cloture_1_noos 2001 results 11jul01" xfId="2975" xr:uid="{00000000-0005-0000-0000-000021050000}"/>
    <cellStyle name="_PercentSpace_surbid4 cloture_noos 2001 results 11jul01" xfId="2976" xr:uid="{00000000-0005-0000-0000-000022050000}"/>
    <cellStyle name="_PercentSpace_tropicos5" xfId="2977" xr:uid="{00000000-0005-0000-0000-000023050000}"/>
    <cellStyle name="_PercentSpace_voice1.xls Chart 1" xfId="2978" xr:uid="{00000000-0005-0000-0000-000024050000}"/>
    <cellStyle name="_PercentSpace_wacc" xfId="2979" xr:uid="{00000000-0005-0000-0000-000025050000}"/>
    <cellStyle name="_PercentSpace_wacc bb final" xfId="285" xr:uid="{00000000-0005-0000-0000-000026050000}"/>
    <cellStyle name="_PercentSpace_wacc bb final_Feeder" xfId="286" xr:uid="{00000000-0005-0000-0000-000027050000}"/>
    <cellStyle name="_PercentSpace_wacc bb final_George - LBO Model 3.1" xfId="287" xr:uid="{00000000-0005-0000-0000-000028050000}"/>
    <cellStyle name="_PercentSpace_wacc bb final_George - LBO Model 3.1_Feeder" xfId="288" xr:uid="{00000000-0005-0000-0000-000029050000}"/>
    <cellStyle name="_PercentSpace_wacc bb final_George - LBO Model 3.1_M&amp;A Model" xfId="289" xr:uid="{00000000-0005-0000-0000-00002A050000}"/>
    <cellStyle name="_PercentSpace_wacc bb final_M&amp;A Model" xfId="290" xr:uid="{00000000-0005-0000-0000-00002B050000}"/>
    <cellStyle name="_Property Budget 2011" xfId="2117" xr:uid="{00000000-0005-0000-0000-00002C050000}"/>
    <cellStyle name="_Property PPM Budgets - 2009" xfId="2118" xr:uid="{00000000-0005-0000-0000-00002D050000}"/>
    <cellStyle name="_Property PPM Budgets - 2009_Covenants_draft_260412" xfId="2119" xr:uid="{00000000-0005-0000-0000-00002E050000}"/>
    <cellStyle name="_Property PPM Budgets - 2009_Head Office Pack - Draft 1" xfId="2120" xr:uid="{00000000-0005-0000-0000-00002F050000}"/>
    <cellStyle name="_Property PPM Budgets - 2009_Head Office Pack - Draft 4" xfId="2121" xr:uid="{00000000-0005-0000-0000-000030050000}"/>
    <cellStyle name="_Property PPM Budgets - 2009_Sheet1" xfId="2122" xr:uid="{00000000-0005-0000-0000-000031050000}"/>
    <cellStyle name="_Repairs &amp; Maintenance" xfId="2123" xr:uid="{00000000-0005-0000-0000-000032050000}"/>
    <cellStyle name="_Repairs &amp; Maintenance_Covenants_draft_260412" xfId="2124" xr:uid="{00000000-0005-0000-0000-000033050000}"/>
    <cellStyle name="_Repairs &amp; Maintenance_Head Office Pack - Draft 1" xfId="2125" xr:uid="{00000000-0005-0000-0000-000034050000}"/>
    <cellStyle name="_Repairs &amp; Maintenance_Head Office Pack - Draft 4" xfId="2126" xr:uid="{00000000-0005-0000-0000-000035050000}"/>
    <cellStyle name="_Repairs &amp; Maintenance_Sheet1" xfId="2127" xr:uid="{00000000-0005-0000-0000-000036050000}"/>
    <cellStyle name="_Row1" xfId="291" xr:uid="{00000000-0005-0000-0000-000037050000}"/>
    <cellStyle name="_Row1_Bank case Viking (sent to JPM 10 Nov 05)" xfId="292" xr:uid="{00000000-0005-0000-0000-000038050000}"/>
    <cellStyle name="_Row1_Banks (2)" xfId="293" xr:uid="{00000000-0005-0000-0000-000039050000}"/>
    <cellStyle name="_Row1_Book2" xfId="2128" xr:uid="{00000000-0005-0000-0000-00003A050000}"/>
    <cellStyle name="_Row1_Covenants_draft_260412" xfId="2129" xr:uid="{00000000-0005-0000-0000-00003B050000}"/>
    <cellStyle name="_Row1_DRAFT 11" xfId="2130" xr:uid="{00000000-0005-0000-0000-00003C050000}"/>
    <cellStyle name="_Row1_DRAFT 11_Covenants_draft_260412" xfId="2131" xr:uid="{00000000-0005-0000-0000-00003D050000}"/>
    <cellStyle name="_Row1_DRAFT 11_Marketing &amp; Product" xfId="2132" xr:uid="{00000000-0005-0000-0000-00003E050000}"/>
    <cellStyle name="_Row1_EBITDA-Recon P&amp;L OPSP04-08_GX" xfId="294" xr:uid="{00000000-0005-0000-0000-00003F050000}"/>
    <cellStyle name="_Row1_Feeder" xfId="295" xr:uid="{00000000-0005-0000-0000-000040050000}"/>
    <cellStyle name="_Row1_Financial ratios_Euroland" xfId="296" xr:uid="{00000000-0005-0000-0000-000041050000}"/>
    <cellStyle name="_Row1_GX evaluation without pensions" xfId="297" xr:uid="{00000000-0005-0000-0000-000042050000}"/>
    <cellStyle name="_Row1_GX OPSP0509 incl. Zurückdrehen Subsidies NVM" xfId="298" xr:uid="{00000000-0005-0000-0000-000043050000}"/>
    <cellStyle name="_Row1_GX Plan" xfId="299" xr:uid="{00000000-0005-0000-0000-000044050000}"/>
    <cellStyle name="_Row1_Head Office Pack - Draft 1" xfId="2133" xr:uid="{00000000-0005-0000-0000-000045050000}"/>
    <cellStyle name="_Row1_Head Office Pack - Draft 4" xfId="2134" xr:uid="{00000000-0005-0000-0000-000046050000}"/>
    <cellStyle name="_Row1_Headcount" xfId="300" xr:uid="{00000000-0005-0000-0000-000047050000}"/>
    <cellStyle name="_Row1_Headcount_Monthly report" xfId="301" xr:uid="{00000000-0005-0000-0000-000048050000}"/>
    <cellStyle name="_Row1_Internal" xfId="2135" xr:uid="{00000000-0005-0000-0000-000049050000}"/>
    <cellStyle name="_Row1_Internal 1" xfId="2136" xr:uid="{00000000-0005-0000-0000-00004A050000}"/>
    <cellStyle name="_Row1_Internal 1_Projections Pack" xfId="2137" xr:uid="{00000000-0005-0000-0000-00004B050000}"/>
    <cellStyle name="_Row1_Internal 1_Projections Pack (TM)" xfId="2138" xr:uid="{00000000-0005-0000-0000-00004C050000}"/>
    <cellStyle name="_Row1_Internal 1_Quasi Rent Illustration" xfId="2139" xr:uid="{00000000-0005-0000-0000-00004D050000}"/>
    <cellStyle name="_Row1_Internal_Projections Pack" xfId="2140" xr:uid="{00000000-0005-0000-0000-00004E050000}"/>
    <cellStyle name="_Row1_Internal_Projections Pack (TM)" xfId="2141" xr:uid="{00000000-0005-0000-0000-00004F050000}"/>
    <cellStyle name="_Row1_Internal_Quasi Rent Illustration" xfId="2142" xr:uid="{00000000-0005-0000-0000-000050050000}"/>
    <cellStyle name="_Row1_IT Budget 2011" xfId="2143" xr:uid="{00000000-0005-0000-0000-000051050000}"/>
    <cellStyle name="_Row1_IT Budget Master 2011 - Draft V2 1 (2)" xfId="2144" xr:uid="{00000000-0005-0000-0000-000052050000}"/>
    <cellStyle name="_Row1_Konsolidierungsbeträge" xfId="302" xr:uid="{00000000-0005-0000-0000-000053050000}"/>
    <cellStyle name="_Row1_LTMJUN02" xfId="303" xr:uid="{00000000-0005-0000-0000-000054050000}"/>
    <cellStyle name="_Row1_M&amp;A Model" xfId="304" xr:uid="{00000000-0005-0000-0000-000055050000}"/>
    <cellStyle name="_Row1_M&amp;A projections" xfId="305" xr:uid="{00000000-0005-0000-0000-000056050000}"/>
    <cellStyle name="_Row1_MIS Reporting_Budget_JD" xfId="306" xr:uid="{00000000-0005-0000-0000-000057050000}"/>
    <cellStyle name="_Row1_Net Gain Review Pack - 28th Sept" xfId="2145" xr:uid="{00000000-0005-0000-0000-000058050000}"/>
    <cellStyle name="_Row1_New Gerresheimer bank plan (sent to JPM 26 Nov 05)" xfId="307" xr:uid="{00000000-0005-0000-0000-000059050000}"/>
    <cellStyle name="_Row1_P&amp;L bank model - received from Gerresheimer 1 12 05" xfId="308" xr:uid="{00000000-0005-0000-0000-00005A050000}"/>
    <cellStyle name="_Row1_PAR overlay" xfId="2146" xr:uid="{00000000-0005-0000-0000-00005B050000}"/>
    <cellStyle name="_Row1_PAR overlay_Projections Pack" xfId="2147" xr:uid="{00000000-0005-0000-0000-00005C050000}"/>
    <cellStyle name="_Row1_PAR overlay_Projections Pack (TM)" xfId="2148" xr:uid="{00000000-0005-0000-0000-00005D050000}"/>
    <cellStyle name="_Row1_PAR overlay_Quasi Rent Illustration" xfId="2149" xr:uid="{00000000-0005-0000-0000-00005E050000}"/>
    <cellStyle name="_Row1_Plan model" xfId="309" xr:uid="{00000000-0005-0000-0000-00005F050000}"/>
    <cellStyle name="_Row1_Property Budget 2011" xfId="2150" xr:uid="{00000000-0005-0000-0000-000060050000}"/>
    <cellStyle name="_Row1_Property Budget 2011_Covenants_draft_260412" xfId="2151" xr:uid="{00000000-0005-0000-0000-000061050000}"/>
    <cellStyle name="_Row1_Property Budget 2011_Marketing &amp; Product" xfId="2152" xr:uid="{00000000-0005-0000-0000-000062050000}"/>
    <cellStyle name="_Row1_Quarterly" xfId="310" xr:uid="{00000000-0005-0000-0000-000063050000}"/>
    <cellStyle name="_Row1_Sceanrio 2 Update - Dec 2nd" xfId="2153" xr:uid="{00000000-0005-0000-0000-000064050000}"/>
    <cellStyle name="_Row1_Sceanrio 2 Update - Dec 2nd_Projections Pack" xfId="2154" xr:uid="{00000000-0005-0000-0000-000065050000}"/>
    <cellStyle name="_Row1_Sceanrio 2 Update - Dec 2nd_Projections Pack (TM)" xfId="2155" xr:uid="{00000000-0005-0000-0000-000066050000}"/>
    <cellStyle name="_Row1_Sceanrio 2 Update - Dec 2nd_Quasi Rent Illustration" xfId="2156" xr:uid="{00000000-0005-0000-0000-000067050000}"/>
    <cellStyle name="_Row1_Sheet1" xfId="2157" xr:uid="{00000000-0005-0000-0000-000068050000}"/>
    <cellStyle name="_Row1_Tabelle1" xfId="311" xr:uid="{00000000-0005-0000-0000-000069050000}"/>
    <cellStyle name="_Row1_TSG2" xfId="312" xr:uid="{00000000-0005-0000-0000-00006A050000}"/>
    <cellStyle name="_Row1_Update 2004 Figures v2 (sent to banks)" xfId="313" xr:uid="{00000000-0005-0000-0000-00006B050000}"/>
    <cellStyle name="_Row1_WC benchmark Calc" xfId="314" xr:uid="{00000000-0005-0000-0000-00006C050000}"/>
    <cellStyle name="_Row1_YLC" xfId="2158" xr:uid="{00000000-0005-0000-0000-00006D050000}"/>
    <cellStyle name="_Row1_Zins und Bankschuldenberechnung_03_07" xfId="315" xr:uid="{00000000-0005-0000-0000-00006E050000}"/>
    <cellStyle name="_Row10" xfId="316" xr:uid="{00000000-0005-0000-0000-00006F050000}"/>
    <cellStyle name="_Row2" xfId="317" xr:uid="{00000000-0005-0000-0000-000070050000}"/>
    <cellStyle name="_Row2_051003 Viking Business plan" xfId="318" xr:uid="{00000000-0005-0000-0000-000071050000}"/>
    <cellStyle name="_Row2_051004 Viking Business plan10" xfId="319" xr:uid="{00000000-0005-0000-0000-000072050000}"/>
    <cellStyle name="_Row2_Aurora LBO v25" xfId="320" xr:uid="{00000000-0005-0000-0000-000073050000}"/>
    <cellStyle name="_Row2_Balance Sheet_restl. Eurowährungsl._Gruppe" xfId="321" xr:uid="{00000000-0005-0000-0000-000074050000}"/>
    <cellStyle name="_Row2_Bank case Viking (sent to JPM 10 Nov 05)" xfId="322" xr:uid="{00000000-0005-0000-0000-000075050000}"/>
    <cellStyle name="_Row2_Cost Price Assumptions OPSP0509 vs OPSP0610" xfId="323" xr:uid="{00000000-0005-0000-0000-000076050000}"/>
    <cellStyle name="_Row2_Feeder" xfId="324" xr:uid="{00000000-0005-0000-0000-000077050000}"/>
    <cellStyle name="_Row2_FY 2005-2009 OP-SP Update (11-Oct-04)" xfId="325" xr:uid="{00000000-0005-0000-0000-000078050000}"/>
    <cellStyle name="_Row2_Key assumptions GX companies" xfId="326" xr:uid="{00000000-0005-0000-0000-000079050000}"/>
    <cellStyle name="_Row2_M&amp;A Model" xfId="327" xr:uid="{00000000-0005-0000-0000-00007A050000}"/>
    <cellStyle name="_Row2_M&amp;A projections" xfId="328" xr:uid="{00000000-0005-0000-0000-00007B050000}"/>
    <cellStyle name="_Row2_Mappe2" xfId="329" xr:uid="{00000000-0005-0000-0000-00007C050000}"/>
    <cellStyle name="_Row2_MIS Reporting_Budget_OPSP 06-10" xfId="330" xr:uid="{00000000-0005-0000-0000-00007D050000}"/>
    <cellStyle name="_Row2_TSG2" xfId="331" xr:uid="{00000000-0005-0000-0000-00007E050000}"/>
    <cellStyle name="_Row3" xfId="332" xr:uid="{00000000-0005-0000-0000-00007F050000}"/>
    <cellStyle name="_Row3_051003 Viking Business plan" xfId="333" xr:uid="{00000000-0005-0000-0000-000080050000}"/>
    <cellStyle name="_Row3_051004 Viking Business plan10" xfId="334" xr:uid="{00000000-0005-0000-0000-000081050000}"/>
    <cellStyle name="_Row3_Balance Sheet_restl. Eurowährungsl._Gruppe" xfId="335" xr:uid="{00000000-0005-0000-0000-000082050000}"/>
    <cellStyle name="_Row3_Bank case Viking (sent to JPM 10 Nov 05)" xfId="336" xr:uid="{00000000-0005-0000-0000-000083050000}"/>
    <cellStyle name="_Row3_Cost Price Assumptions OPSP0509 vs OPSP0610" xfId="337" xr:uid="{00000000-0005-0000-0000-000084050000}"/>
    <cellStyle name="_Row3_Feeder" xfId="338" xr:uid="{00000000-0005-0000-0000-000085050000}"/>
    <cellStyle name="_Row3_FY 2005-2009 OP-SP Update (11-Oct-04)" xfId="339" xr:uid="{00000000-0005-0000-0000-000086050000}"/>
    <cellStyle name="_Row3_Key assumptions GX companies" xfId="340" xr:uid="{00000000-0005-0000-0000-000087050000}"/>
    <cellStyle name="_Row3_M&amp;A Model" xfId="341" xr:uid="{00000000-0005-0000-0000-000088050000}"/>
    <cellStyle name="_Row3_M&amp;A projections" xfId="342" xr:uid="{00000000-0005-0000-0000-000089050000}"/>
    <cellStyle name="_Row3_Mappe2" xfId="343" xr:uid="{00000000-0005-0000-0000-00008A050000}"/>
    <cellStyle name="_Row3_MIS Reporting_Budget_OPSP 06-10" xfId="344" xr:uid="{00000000-0005-0000-0000-00008B050000}"/>
    <cellStyle name="_Row3_TSG2" xfId="345" xr:uid="{00000000-0005-0000-0000-00008C050000}"/>
    <cellStyle name="_Row4" xfId="346" xr:uid="{00000000-0005-0000-0000-00008D050000}"/>
    <cellStyle name="_Row4_021202External Sales 2000_2001_DA_feste Werte" xfId="347" xr:uid="{00000000-0005-0000-0000-00008E050000}"/>
    <cellStyle name="_Row4_051003 Viking Business plan" xfId="348" xr:uid="{00000000-0005-0000-0000-00008F050000}"/>
    <cellStyle name="_Row4_051004 Viking Business plan10" xfId="349" xr:uid="{00000000-0005-0000-0000-000090050000}"/>
    <cellStyle name="_Row4_3. Version 4 Bank" xfId="2159" xr:uid="{00000000-0005-0000-0000-000091050000}"/>
    <cellStyle name="_Row4_3. Version 4 Bank new segments" xfId="2160" xr:uid="{00000000-0005-0000-0000-000092050000}"/>
    <cellStyle name="_Row4_4. Version 4 Bank new segments with rollout" xfId="2161" xr:uid="{00000000-0005-0000-0000-000093050000}"/>
    <cellStyle name="_Row4_4. Version 4 Bank with Rollout" xfId="2162" xr:uid="{00000000-0005-0000-0000-000094050000}"/>
    <cellStyle name="_Row4_Bank case Viking (sent to JPM 10 Nov 05)" xfId="350" xr:uid="{00000000-0005-0000-0000-000095050000}"/>
    <cellStyle name="_Row4_Cost Price Assumptions OPSP0509 vs OPSP0610" xfId="351" xr:uid="{00000000-0005-0000-0000-000096050000}"/>
    <cellStyle name="_Row4_DRAFT 11" xfId="2163" xr:uid="{00000000-0005-0000-0000-000097050000}"/>
    <cellStyle name="_Row4_Feeder" xfId="352" xr:uid="{00000000-0005-0000-0000-000098050000}"/>
    <cellStyle name="_Row4_FY 2005-2009 OP-SP Update (11-Oct-04)" xfId="353" xr:uid="{00000000-0005-0000-0000-000099050000}"/>
    <cellStyle name="_Row4_IT Budget 2011" xfId="2164" xr:uid="{00000000-0005-0000-0000-00009A050000}"/>
    <cellStyle name="_Row4_IT Budget Master 2011 - Draft V2 1 (2)" xfId="2165" xr:uid="{00000000-0005-0000-0000-00009B050000}"/>
    <cellStyle name="_Row4_Key assumptions GX companies" xfId="354" xr:uid="{00000000-0005-0000-0000-00009C050000}"/>
    <cellStyle name="_Row4_Konsolidierungsbeträge" xfId="355" xr:uid="{00000000-0005-0000-0000-00009D050000}"/>
    <cellStyle name="_Row4_M&amp;A Model" xfId="356" xr:uid="{00000000-0005-0000-0000-00009E050000}"/>
    <cellStyle name="_Row4_M&amp;A projections" xfId="357" xr:uid="{00000000-0005-0000-0000-00009F050000}"/>
    <cellStyle name="_Row4_Mappe2" xfId="358" xr:uid="{00000000-0005-0000-0000-0000A0050000}"/>
    <cellStyle name="_Row4_MIS Reporting_Budget_OPSP 06-10" xfId="359" xr:uid="{00000000-0005-0000-0000-0000A1050000}"/>
    <cellStyle name="_Row4_Net Gain Review Pack - 28th Sept" xfId="2166" xr:uid="{00000000-0005-0000-0000-0000A2050000}"/>
    <cellStyle name="_Row4_PAR overlay" xfId="2167" xr:uid="{00000000-0005-0000-0000-0000A3050000}"/>
    <cellStyle name="_Row4_TSG2" xfId="360" xr:uid="{00000000-0005-0000-0000-0000A4050000}"/>
    <cellStyle name="_Row4_UBS Model" xfId="2168" xr:uid="{00000000-0005-0000-0000-0000A5050000}"/>
    <cellStyle name="_Row4_UBS Model - upside model" xfId="2169" xr:uid="{00000000-0005-0000-0000-0000A6050000}"/>
    <cellStyle name="_Row5" xfId="361" xr:uid="{00000000-0005-0000-0000-0000A7050000}"/>
    <cellStyle name="_Row5_021202External Sales 2000_2001_DA_feste Werte" xfId="362" xr:uid="{00000000-0005-0000-0000-0000A8050000}"/>
    <cellStyle name="_Row5_051003 Viking Business plan" xfId="363" xr:uid="{00000000-0005-0000-0000-0000A9050000}"/>
    <cellStyle name="_Row5_051004 Viking Business plan10" xfId="364" xr:uid="{00000000-0005-0000-0000-0000AA050000}"/>
    <cellStyle name="_Row5_Balance Sheet_restl. Eurowährungsl._Gruppe" xfId="365" xr:uid="{00000000-0005-0000-0000-0000AB050000}"/>
    <cellStyle name="_Row5_Bank case Viking (sent to JPM 10 Nov 05)" xfId="366" xr:uid="{00000000-0005-0000-0000-0000AC050000}"/>
    <cellStyle name="_Row5_Cost Price Assumptions OPSP0509 vs OPSP0610" xfId="367" xr:uid="{00000000-0005-0000-0000-0000AD050000}"/>
    <cellStyle name="_Row5_Feeder" xfId="368" xr:uid="{00000000-0005-0000-0000-0000AE050000}"/>
    <cellStyle name="_Row5_FY 2005-2009 OP-SP Update (11-Oct-04)" xfId="369" xr:uid="{00000000-0005-0000-0000-0000AF050000}"/>
    <cellStyle name="_Row5_Key assumptions GX companies" xfId="370" xr:uid="{00000000-0005-0000-0000-0000B0050000}"/>
    <cellStyle name="_Row5_M&amp;A Model" xfId="371" xr:uid="{00000000-0005-0000-0000-0000B1050000}"/>
    <cellStyle name="_Row5_M&amp;A projections" xfId="372" xr:uid="{00000000-0005-0000-0000-0000B2050000}"/>
    <cellStyle name="_Row5_Mappe2" xfId="373" xr:uid="{00000000-0005-0000-0000-0000B3050000}"/>
    <cellStyle name="_Row5_MIS Reporting_Budget_OPSP 06-10" xfId="374" xr:uid="{00000000-0005-0000-0000-0000B4050000}"/>
    <cellStyle name="_Row5_TSG2" xfId="375" xr:uid="{00000000-0005-0000-0000-0000B5050000}"/>
    <cellStyle name="_Row6" xfId="376" xr:uid="{00000000-0005-0000-0000-0000B6050000}"/>
    <cellStyle name="_Row6_021202External Sales 2000_2001_DA_feste Werte" xfId="377" xr:uid="{00000000-0005-0000-0000-0000B7050000}"/>
    <cellStyle name="_Row6_051003 Viking Business plan" xfId="378" xr:uid="{00000000-0005-0000-0000-0000B8050000}"/>
    <cellStyle name="_Row6_051004 Viking Business plan10" xfId="379" xr:uid="{00000000-0005-0000-0000-0000B9050000}"/>
    <cellStyle name="_Row6_Balance Sheet_restl. Eurowährungsl._Gruppe" xfId="380" xr:uid="{00000000-0005-0000-0000-0000BA050000}"/>
    <cellStyle name="_Row6_Bank case Viking (sent to JPM 10 Nov 05)" xfId="381" xr:uid="{00000000-0005-0000-0000-0000BB050000}"/>
    <cellStyle name="_Row6_Cost Price Assumptions OPSP0509 vs OPSP0610" xfId="382" xr:uid="{00000000-0005-0000-0000-0000BC050000}"/>
    <cellStyle name="_Row6_Feeder" xfId="383" xr:uid="{00000000-0005-0000-0000-0000BD050000}"/>
    <cellStyle name="_Row6_FY 2005-2009 OP-SP Update (11-Oct-04)" xfId="384" xr:uid="{00000000-0005-0000-0000-0000BE050000}"/>
    <cellStyle name="_Row6_Key assumptions GX companies" xfId="385" xr:uid="{00000000-0005-0000-0000-0000BF050000}"/>
    <cellStyle name="_Row6_M&amp;A Model" xfId="386" xr:uid="{00000000-0005-0000-0000-0000C0050000}"/>
    <cellStyle name="_Row6_M&amp;A projections" xfId="387" xr:uid="{00000000-0005-0000-0000-0000C1050000}"/>
    <cellStyle name="_Row6_Mappe2" xfId="388" xr:uid="{00000000-0005-0000-0000-0000C2050000}"/>
    <cellStyle name="_Row6_MIS Reporting_Budget_OPSP 06-10" xfId="389" xr:uid="{00000000-0005-0000-0000-0000C3050000}"/>
    <cellStyle name="_Row6_TSG2" xfId="390" xr:uid="{00000000-0005-0000-0000-0000C4050000}"/>
    <cellStyle name="_Row7" xfId="391" xr:uid="{00000000-0005-0000-0000-0000C5050000}"/>
    <cellStyle name="_Row7_021202External Sales 2000_2001_DA_feste Werte" xfId="392" xr:uid="{00000000-0005-0000-0000-0000C6050000}"/>
    <cellStyle name="_Row7_051003 Viking Business plan" xfId="393" xr:uid="{00000000-0005-0000-0000-0000C7050000}"/>
    <cellStyle name="_Row7_051004 Viking Business plan10" xfId="394" xr:uid="{00000000-0005-0000-0000-0000C8050000}"/>
    <cellStyle name="_Row7_3. Version 4 Bank" xfId="2170" xr:uid="{00000000-0005-0000-0000-0000C9050000}"/>
    <cellStyle name="_Row7_3. Version 4 Bank new segments" xfId="2171" xr:uid="{00000000-0005-0000-0000-0000CA050000}"/>
    <cellStyle name="_Row7_4. Version 4 Bank new segments with rollout" xfId="2172" xr:uid="{00000000-0005-0000-0000-0000CB050000}"/>
    <cellStyle name="_Row7_4. Version 4 Bank with Rollout" xfId="2173" xr:uid="{00000000-0005-0000-0000-0000CC050000}"/>
    <cellStyle name="_Row7_Balance Sheet_restl. Eurowährungsl._Gruppe" xfId="395" xr:uid="{00000000-0005-0000-0000-0000CD050000}"/>
    <cellStyle name="_Row7_Bank case Viking (sent to JPM 10 Nov 05)" xfId="396" xr:uid="{00000000-0005-0000-0000-0000CE050000}"/>
    <cellStyle name="_Row7_Cost Price Assumptions OPSP0509 vs OPSP0610" xfId="397" xr:uid="{00000000-0005-0000-0000-0000CF050000}"/>
    <cellStyle name="_Row7_Feeder" xfId="398" xr:uid="{00000000-0005-0000-0000-0000D0050000}"/>
    <cellStyle name="_Row7_FY 2005-2009 OP-SP Update (11-Oct-04)" xfId="399" xr:uid="{00000000-0005-0000-0000-0000D1050000}"/>
    <cellStyle name="_Row7_Key assumptions GX companies" xfId="400" xr:uid="{00000000-0005-0000-0000-0000D2050000}"/>
    <cellStyle name="_Row7_Konsolidierungsbeträge" xfId="401" xr:uid="{00000000-0005-0000-0000-0000D3050000}"/>
    <cellStyle name="_Row7_M&amp;A Model" xfId="402" xr:uid="{00000000-0005-0000-0000-0000D4050000}"/>
    <cellStyle name="_Row7_M&amp;A projections" xfId="403" xr:uid="{00000000-0005-0000-0000-0000D5050000}"/>
    <cellStyle name="_Row7_Mappe2" xfId="404" xr:uid="{00000000-0005-0000-0000-0000D6050000}"/>
    <cellStyle name="_Row7_MIS Reporting_Budget_OPSP 06-10" xfId="405" xr:uid="{00000000-0005-0000-0000-0000D7050000}"/>
    <cellStyle name="_Row7_PAR overlay" xfId="2174" xr:uid="{00000000-0005-0000-0000-0000D8050000}"/>
    <cellStyle name="_Row7_TSG2" xfId="406" xr:uid="{00000000-0005-0000-0000-0000D9050000}"/>
    <cellStyle name="_Row7_UBS Model" xfId="2175" xr:uid="{00000000-0005-0000-0000-0000DA050000}"/>
    <cellStyle name="_Row7_UBS Model - upside model" xfId="2176" xr:uid="{00000000-0005-0000-0000-0000DB050000}"/>
    <cellStyle name="_Row8" xfId="407" xr:uid="{00000000-0005-0000-0000-0000DC050000}"/>
    <cellStyle name="_Row8_021202External Sales 2000_2001_DA_feste Werte" xfId="408" xr:uid="{00000000-0005-0000-0000-0000DD050000}"/>
    <cellStyle name="_Row8_Balance Sheet_restl. Eurowährungsl._Gruppe" xfId="409" xr:uid="{00000000-0005-0000-0000-0000DE050000}"/>
    <cellStyle name="_Row8_Konsolidierungsbeträge" xfId="410" xr:uid="{00000000-0005-0000-0000-0000DF050000}"/>
    <cellStyle name="_SAB_standalone" xfId="411" xr:uid="{00000000-0005-0000-0000-0000E0050000}"/>
    <cellStyle name="_Scotland &amp; North West" xfId="2177" xr:uid="{00000000-0005-0000-0000-0000E1050000}"/>
    <cellStyle name="_Scotland &amp; North West_Covenants_draft_260412" xfId="2178" xr:uid="{00000000-0005-0000-0000-0000E2050000}"/>
    <cellStyle name="_Scotland &amp; North West_Head Office Pack - Draft 1" xfId="2179" xr:uid="{00000000-0005-0000-0000-0000E3050000}"/>
    <cellStyle name="_Scotland &amp; North West_Head Office Pack - Draft 4" xfId="2180" xr:uid="{00000000-0005-0000-0000-0000E4050000}"/>
    <cellStyle name="_Scotland &amp; North West_Property Budget 2011" xfId="2181" xr:uid="{00000000-0005-0000-0000-0000E5050000}"/>
    <cellStyle name="_Scotland &amp; North West_Property Budget 2011_Covenants_draft_260412" xfId="2182" xr:uid="{00000000-0005-0000-0000-0000E6050000}"/>
    <cellStyle name="_Scotland &amp; North West_Property Budget 2011_Marketing &amp; Product" xfId="2183" xr:uid="{00000000-0005-0000-0000-0000E7050000}"/>
    <cellStyle name="_Scotland &amp; North West_Sheet1" xfId="2184" xr:uid="{00000000-0005-0000-0000-0000E8050000}"/>
    <cellStyle name="_Section 1 2009" xfId="2185" xr:uid="{00000000-0005-0000-0000-0000E9050000}"/>
    <cellStyle name="_Section 4 2009 Group 1" xfId="2186" xr:uid="{00000000-0005-0000-0000-0000EA050000}"/>
    <cellStyle name="_Section 5 2009 Group 1" xfId="2187" xr:uid="{00000000-0005-0000-0000-0000EB050000}"/>
    <cellStyle name="_Section 5 2009 Group 5" xfId="2188" xr:uid="{00000000-0005-0000-0000-0000EC050000}"/>
    <cellStyle name="_SECTION 7 - Summary P&amp;L with Graphs" xfId="2189" xr:uid="{00000000-0005-0000-0000-0000ED050000}"/>
    <cellStyle name="_SECTION 7 - Summary P&amp;L with Graphs_Book2" xfId="2190" xr:uid="{00000000-0005-0000-0000-0000EE050000}"/>
    <cellStyle name="_SECTION 7 - Summary P&amp;L with Graphs_Covenants_draft_260412" xfId="2191" xr:uid="{00000000-0005-0000-0000-0000EF050000}"/>
    <cellStyle name="_SECTION 7 - Summary P&amp;L with Graphs_DRAFT 11" xfId="2192" xr:uid="{00000000-0005-0000-0000-0000F0050000}"/>
    <cellStyle name="_SECTION 7 - Summary P&amp;L with Graphs_DRAFT 11_Covenants_draft_260412" xfId="2193" xr:uid="{00000000-0005-0000-0000-0000F1050000}"/>
    <cellStyle name="_SECTION 7 - Summary P&amp;L with Graphs_DRAFT 11_Marketing &amp; Product" xfId="2194" xr:uid="{00000000-0005-0000-0000-0000F2050000}"/>
    <cellStyle name="_SECTION 7 - Summary P&amp;L with Graphs_Head Office Pack - Draft 1" xfId="2195" xr:uid="{00000000-0005-0000-0000-0000F3050000}"/>
    <cellStyle name="_SECTION 7 - Summary P&amp;L with Graphs_Head Office Pack - Draft 4" xfId="2196" xr:uid="{00000000-0005-0000-0000-0000F4050000}"/>
    <cellStyle name="_SECTION 7 - Summary P&amp;L with Graphs_Internal" xfId="2197" xr:uid="{00000000-0005-0000-0000-0000F5050000}"/>
    <cellStyle name="_SECTION 7 - Summary P&amp;L with Graphs_Internal 1" xfId="2198" xr:uid="{00000000-0005-0000-0000-0000F6050000}"/>
    <cellStyle name="_SECTION 7 - Summary P&amp;L with Graphs_Internal 1_Projections Pack" xfId="2199" xr:uid="{00000000-0005-0000-0000-0000F7050000}"/>
    <cellStyle name="_SECTION 7 - Summary P&amp;L with Graphs_Internal 1_Projections Pack (TM)" xfId="2200" xr:uid="{00000000-0005-0000-0000-0000F8050000}"/>
    <cellStyle name="_SECTION 7 - Summary P&amp;L with Graphs_Internal 1_Quasi Rent Illustration" xfId="2201" xr:uid="{00000000-0005-0000-0000-0000F9050000}"/>
    <cellStyle name="_SECTION 7 - Summary P&amp;L with Graphs_Internal_Projections Pack" xfId="2202" xr:uid="{00000000-0005-0000-0000-0000FA050000}"/>
    <cellStyle name="_SECTION 7 - Summary P&amp;L with Graphs_Internal_Projections Pack (TM)" xfId="2203" xr:uid="{00000000-0005-0000-0000-0000FB050000}"/>
    <cellStyle name="_SECTION 7 - Summary P&amp;L with Graphs_Internal_Quasi Rent Illustration" xfId="2204" xr:uid="{00000000-0005-0000-0000-0000FC050000}"/>
    <cellStyle name="_SECTION 7 - Summary P&amp;L with Graphs_IT Budget 2011" xfId="2205" xr:uid="{00000000-0005-0000-0000-0000FD050000}"/>
    <cellStyle name="_SECTION 7 - Summary P&amp;L with Graphs_IT Budget Master 2011 - Draft V2 1 (2)" xfId="2206" xr:uid="{00000000-0005-0000-0000-0000FE050000}"/>
    <cellStyle name="_SECTION 7 - Summary P&amp;L with Graphs_Net Gain Review Pack - 28th Sept" xfId="2207" xr:uid="{00000000-0005-0000-0000-0000FF050000}"/>
    <cellStyle name="_SECTION 7 - Summary P&amp;L with Graphs_PAR overlay" xfId="2208" xr:uid="{00000000-0005-0000-0000-000000060000}"/>
    <cellStyle name="_SECTION 7 - Summary P&amp;L with Graphs_PAR overlay_Projections Pack" xfId="2209" xr:uid="{00000000-0005-0000-0000-000001060000}"/>
    <cellStyle name="_SECTION 7 - Summary P&amp;L with Graphs_PAR overlay_Projections Pack (TM)" xfId="2210" xr:uid="{00000000-0005-0000-0000-000002060000}"/>
    <cellStyle name="_SECTION 7 - Summary P&amp;L with Graphs_PAR overlay_Quasi Rent Illustration" xfId="2211" xr:uid="{00000000-0005-0000-0000-000003060000}"/>
    <cellStyle name="_SECTION 7 - Summary P&amp;L with Graphs_Property Budget 2011" xfId="2212" xr:uid="{00000000-0005-0000-0000-000004060000}"/>
    <cellStyle name="_SECTION 7 - Summary P&amp;L with Graphs_Property Budget 2011_Covenants_draft_260412" xfId="2213" xr:uid="{00000000-0005-0000-0000-000005060000}"/>
    <cellStyle name="_SECTION 7 - Summary P&amp;L with Graphs_Property Budget 2011_Marketing &amp; Product" xfId="2214" xr:uid="{00000000-0005-0000-0000-000006060000}"/>
    <cellStyle name="_SECTION 7 - Summary P&amp;L with Graphs_Sceanrio 2 Update - Dec 2nd" xfId="2215" xr:uid="{00000000-0005-0000-0000-000007060000}"/>
    <cellStyle name="_SECTION 7 - Summary P&amp;L with Graphs_Sceanrio 2 Update - Dec 2nd_Projections Pack" xfId="2216" xr:uid="{00000000-0005-0000-0000-000008060000}"/>
    <cellStyle name="_SECTION 7 - Summary P&amp;L with Graphs_Sceanrio 2 Update - Dec 2nd_Projections Pack (TM)" xfId="2217" xr:uid="{00000000-0005-0000-0000-000009060000}"/>
    <cellStyle name="_SECTION 7 - Summary P&amp;L with Graphs_Sceanrio 2 Update - Dec 2nd_Quasi Rent Illustration" xfId="2218" xr:uid="{00000000-0005-0000-0000-00000A060000}"/>
    <cellStyle name="_SECTION 7 - Summary P&amp;L with Graphs_Sheet1" xfId="2219" xr:uid="{00000000-0005-0000-0000-00000B060000}"/>
    <cellStyle name="_SECTION 7 - Summary P&amp;L with Graphs_YLC" xfId="2220" xr:uid="{00000000-0005-0000-0000-00000C060000}"/>
    <cellStyle name="_source" xfId="2980" xr:uid="{00000000-0005-0000-0000-00000D060000}"/>
    <cellStyle name="_source_03_ Clean LBO Model" xfId="2981" xr:uid="{00000000-0005-0000-0000-00000E060000}"/>
    <cellStyle name="_source_05_ Clean LBO Model" xfId="2982" xr:uid="{00000000-0005-0000-0000-00000F060000}"/>
    <cellStyle name="_source_08 Valuation Model incl. new BP" xfId="2983" xr:uid="{00000000-0005-0000-0000-000010060000}"/>
    <cellStyle name="_source_09 Valuation Model incl. new BP" xfId="2984" xr:uid="{00000000-0005-0000-0000-000011060000}"/>
    <cellStyle name="_source_13 Valuation Model incl. new BP" xfId="2985" xr:uid="{00000000-0005-0000-0000-000012060000}"/>
    <cellStyle name="_source_14 Valuation Model incl. new BP" xfId="2986" xr:uid="{00000000-0005-0000-0000-000013060000}"/>
    <cellStyle name="_source_15_ Clean LBO Model" xfId="2987" xr:uid="{00000000-0005-0000-0000-000014060000}"/>
    <cellStyle name="_source_20 Valuation Model incl. new BP" xfId="2988" xr:uid="{00000000-0005-0000-0000-000015060000}"/>
    <cellStyle name="_source_25 Valuation Model incl. new BP" xfId="2989" xr:uid="{00000000-0005-0000-0000-000016060000}"/>
    <cellStyle name="_source_33 Valuation Model incl. new BP" xfId="2990" xr:uid="{00000000-0005-0000-0000-000017060000}"/>
    <cellStyle name="_source_34 Valuation Model incl. new BP" xfId="2991" xr:uid="{00000000-0005-0000-0000-000018060000}"/>
    <cellStyle name="_source_37 Valuation Model incl. new BP" xfId="2992" xr:uid="{00000000-0005-0000-0000-000019060000}"/>
    <cellStyle name="_source_38 Valuation Model incl. new BP" xfId="2993" xr:uid="{00000000-0005-0000-0000-00001A060000}"/>
    <cellStyle name="_source_39 Valuation Model incl. new BP" xfId="2994" xr:uid="{00000000-0005-0000-0000-00001B060000}"/>
    <cellStyle name="_source_40 Valuation Model incl. new BP" xfId="2995" xr:uid="{00000000-0005-0000-0000-00001C060000}"/>
    <cellStyle name="_source_44 Valuation Model incl. new BP" xfId="2996" xr:uid="{00000000-0005-0000-0000-00001D060000}"/>
    <cellStyle name="_South East" xfId="2221" xr:uid="{00000000-0005-0000-0000-00001E060000}"/>
    <cellStyle name="_South East_Covenants_draft_260412" xfId="2222" xr:uid="{00000000-0005-0000-0000-00001F060000}"/>
    <cellStyle name="_South East_Head Office Pack - Draft 1" xfId="2223" xr:uid="{00000000-0005-0000-0000-000020060000}"/>
    <cellStyle name="_South East_Head Office Pack - Draft 4" xfId="2224" xr:uid="{00000000-0005-0000-0000-000021060000}"/>
    <cellStyle name="_South East_Property Budget 2011" xfId="2225" xr:uid="{00000000-0005-0000-0000-000022060000}"/>
    <cellStyle name="_South East_Property Budget 2011_Covenants_draft_260412" xfId="2226" xr:uid="{00000000-0005-0000-0000-000023060000}"/>
    <cellStyle name="_South East_Property Budget 2011_Marketing &amp; Product" xfId="2227" xr:uid="{00000000-0005-0000-0000-000024060000}"/>
    <cellStyle name="_South East_Sheet1" xfId="2228" xr:uid="{00000000-0005-0000-0000-000025060000}"/>
    <cellStyle name="_South West &amp; Surrey" xfId="2229" xr:uid="{00000000-0005-0000-0000-000026060000}"/>
    <cellStyle name="_South West &amp; Surrey_Covenants_draft_260412" xfId="2230" xr:uid="{00000000-0005-0000-0000-000027060000}"/>
    <cellStyle name="_South West &amp; Surrey_Head Office Pack - Draft 1" xfId="2231" xr:uid="{00000000-0005-0000-0000-000028060000}"/>
    <cellStyle name="_South West &amp; Surrey_Head Office Pack - Draft 4" xfId="2232" xr:uid="{00000000-0005-0000-0000-000029060000}"/>
    <cellStyle name="_South West &amp; Surrey_Property Budget 2011" xfId="2233" xr:uid="{00000000-0005-0000-0000-00002A060000}"/>
    <cellStyle name="_South West &amp; Surrey_Property Budget 2011_Covenants_draft_260412" xfId="2234" xr:uid="{00000000-0005-0000-0000-00002B060000}"/>
    <cellStyle name="_South West &amp; Surrey_Property Budget 2011_Marketing &amp; Product" xfId="2235" xr:uid="{00000000-0005-0000-0000-00002C060000}"/>
    <cellStyle name="_South West &amp; Surrey_Sheet1" xfId="2236" xr:uid="{00000000-0005-0000-0000-00002D060000}"/>
    <cellStyle name="_SubHeading" xfId="412" xr:uid="{00000000-0005-0000-0000-00002E060000}"/>
    <cellStyle name="_SubHeading_01 Capital Structure" xfId="2997" xr:uid="{00000000-0005-0000-0000-00002F060000}"/>
    <cellStyle name="_SubHeading_01 Capital Structure_03_ Clean LBO Model" xfId="2998" xr:uid="{00000000-0005-0000-0000-000030060000}"/>
    <cellStyle name="_SubHeading_01 Capital Structure_05_ Clean LBO Model" xfId="2999" xr:uid="{00000000-0005-0000-0000-000031060000}"/>
    <cellStyle name="_SubHeading_01 Capital Structure_08 Valuation Model incl. new BP" xfId="3000" xr:uid="{00000000-0005-0000-0000-000032060000}"/>
    <cellStyle name="_SubHeading_01 Capital Structure_09 Valuation Model incl. new BP" xfId="3001" xr:uid="{00000000-0005-0000-0000-000033060000}"/>
    <cellStyle name="_SubHeading_01 Capital Structure_13 Valuation Model incl. new BP" xfId="3002" xr:uid="{00000000-0005-0000-0000-000034060000}"/>
    <cellStyle name="_SubHeading_01 Capital Structure_14 Valuation Model incl. new BP" xfId="3003" xr:uid="{00000000-0005-0000-0000-000035060000}"/>
    <cellStyle name="_SubHeading_01 Capital Structure_15_ Clean LBO Model" xfId="3004" xr:uid="{00000000-0005-0000-0000-000036060000}"/>
    <cellStyle name="_SubHeading_01 Capital Structure_20 Valuation Model incl. new BP" xfId="3005" xr:uid="{00000000-0005-0000-0000-000037060000}"/>
    <cellStyle name="_SubHeading_01 Capital Structure_25 Valuation Model incl. new BP" xfId="3006" xr:uid="{00000000-0005-0000-0000-000038060000}"/>
    <cellStyle name="_SubHeading_01 Capital Structure_33 Valuation Model incl. new BP" xfId="3007" xr:uid="{00000000-0005-0000-0000-000039060000}"/>
    <cellStyle name="_SubHeading_01 Capital Structure_34 Valuation Model incl. new BP" xfId="3008" xr:uid="{00000000-0005-0000-0000-00003A060000}"/>
    <cellStyle name="_SubHeading_01 Capital Structure_37 Valuation Model incl. new BP" xfId="3009" xr:uid="{00000000-0005-0000-0000-00003B060000}"/>
    <cellStyle name="_SubHeading_01 Capital Structure_38 Valuation Model incl. new BP" xfId="3010" xr:uid="{00000000-0005-0000-0000-00003C060000}"/>
    <cellStyle name="_SubHeading_01 Capital Structure_39 Valuation Model incl. new BP" xfId="3011" xr:uid="{00000000-0005-0000-0000-00003D060000}"/>
    <cellStyle name="_SubHeading_01 Capital Structure_40 Valuation Model incl. new BP" xfId="3012" xr:uid="{00000000-0005-0000-0000-00003E060000}"/>
    <cellStyle name="_SubHeading_01 Capital Structure_44 Valuation Model incl. new BP" xfId="3013" xr:uid="{00000000-0005-0000-0000-00003F060000}"/>
    <cellStyle name="_SubHeading_01 Offering Breakdown" xfId="3014" xr:uid="{00000000-0005-0000-0000-000040060000}"/>
    <cellStyle name="_SubHeading_02 DCF" xfId="3015" xr:uid="{00000000-0005-0000-0000-000041060000}"/>
    <cellStyle name="_SubHeading_02 Enersys Merger Plan" xfId="3016" xr:uid="{00000000-0005-0000-0000-000042060000}"/>
    <cellStyle name="_SubHeading_02 Enersys Merger Plan_03_ Clean LBO Model" xfId="3017" xr:uid="{00000000-0005-0000-0000-000043060000}"/>
    <cellStyle name="_SubHeading_02 Enersys Merger Plan_05_ Clean LBO Model" xfId="3018" xr:uid="{00000000-0005-0000-0000-000044060000}"/>
    <cellStyle name="_SubHeading_02 Enersys Merger Plan_08 Valuation Model incl. new BP" xfId="3019" xr:uid="{00000000-0005-0000-0000-000045060000}"/>
    <cellStyle name="_SubHeading_02 Enersys Merger Plan_09 Valuation Model incl. new BP" xfId="3020" xr:uid="{00000000-0005-0000-0000-000046060000}"/>
    <cellStyle name="_SubHeading_02 Enersys Merger Plan_13 Valuation Model incl. new BP" xfId="3021" xr:uid="{00000000-0005-0000-0000-000047060000}"/>
    <cellStyle name="_SubHeading_02 Enersys Merger Plan_14 Valuation Model incl. new BP" xfId="3022" xr:uid="{00000000-0005-0000-0000-000048060000}"/>
    <cellStyle name="_SubHeading_02 Enersys Merger Plan_15_ Clean LBO Model" xfId="3023" xr:uid="{00000000-0005-0000-0000-000049060000}"/>
    <cellStyle name="_SubHeading_02 Enersys Merger Plan_20 Valuation Model incl. new BP" xfId="3024" xr:uid="{00000000-0005-0000-0000-00004A060000}"/>
    <cellStyle name="_SubHeading_02 Enersys Merger Plan_25 Valuation Model incl. new BP" xfId="3025" xr:uid="{00000000-0005-0000-0000-00004B060000}"/>
    <cellStyle name="_SubHeading_02 Enersys Merger Plan_33 Valuation Model incl. new BP" xfId="3026" xr:uid="{00000000-0005-0000-0000-00004C060000}"/>
    <cellStyle name="_SubHeading_02 Enersys Merger Plan_34 Valuation Model incl. new BP" xfId="3027" xr:uid="{00000000-0005-0000-0000-00004D060000}"/>
    <cellStyle name="_SubHeading_02 Enersys Merger Plan_37 Valuation Model incl. new BP" xfId="3028" xr:uid="{00000000-0005-0000-0000-00004E060000}"/>
    <cellStyle name="_SubHeading_02 Enersys Merger Plan_38 Valuation Model incl. new BP" xfId="3029" xr:uid="{00000000-0005-0000-0000-00004F060000}"/>
    <cellStyle name="_SubHeading_02 Enersys Merger Plan_39 Valuation Model incl. new BP" xfId="3030" xr:uid="{00000000-0005-0000-0000-000050060000}"/>
    <cellStyle name="_SubHeading_02 Enersys Merger Plan_40 Valuation Model incl. new BP" xfId="3031" xr:uid="{00000000-0005-0000-0000-000051060000}"/>
    <cellStyle name="_SubHeading_02 Enersys Merger Plan_44 Valuation Model incl. new BP" xfId="3032" xr:uid="{00000000-0005-0000-0000-000052060000}"/>
    <cellStyle name="_SubHeading_02 Mobile CSC" xfId="3033" xr:uid="{00000000-0005-0000-0000-000053060000}"/>
    <cellStyle name="_SubHeading_02 TDC Merger Plan" xfId="3034" xr:uid="{00000000-0005-0000-0000-000054060000}"/>
    <cellStyle name="_SubHeading_02 TDC Merger Plan_03_ Clean LBO Model" xfId="3035" xr:uid="{00000000-0005-0000-0000-000055060000}"/>
    <cellStyle name="_SubHeading_02 TDC Merger Plan_05_ Clean LBO Model" xfId="3036" xr:uid="{00000000-0005-0000-0000-000056060000}"/>
    <cellStyle name="_SubHeading_02 TDC Merger Plan_08 Valuation Model incl. new BP" xfId="3037" xr:uid="{00000000-0005-0000-0000-000057060000}"/>
    <cellStyle name="_SubHeading_02 TDC Merger Plan_09 Valuation Model incl. new BP" xfId="3038" xr:uid="{00000000-0005-0000-0000-000058060000}"/>
    <cellStyle name="_SubHeading_02 TDC Merger Plan_13 Valuation Model incl. new BP" xfId="3039" xr:uid="{00000000-0005-0000-0000-000059060000}"/>
    <cellStyle name="_SubHeading_02 TDC Merger Plan_14 Valuation Model incl. new BP" xfId="3040" xr:uid="{00000000-0005-0000-0000-00005A060000}"/>
    <cellStyle name="_SubHeading_02 TDC Merger Plan_15_ Clean LBO Model" xfId="3041" xr:uid="{00000000-0005-0000-0000-00005B060000}"/>
    <cellStyle name="_SubHeading_02 TDC Merger Plan_20 Valuation Model incl. new BP" xfId="3042" xr:uid="{00000000-0005-0000-0000-00005C060000}"/>
    <cellStyle name="_SubHeading_02 TDC Merger Plan_25 Valuation Model incl. new BP" xfId="3043" xr:uid="{00000000-0005-0000-0000-00005D060000}"/>
    <cellStyle name="_SubHeading_02 TDC Merger Plan_33 Valuation Model incl. new BP" xfId="3044" xr:uid="{00000000-0005-0000-0000-00005E060000}"/>
    <cellStyle name="_SubHeading_02 TDC Merger Plan_34 Valuation Model incl. new BP" xfId="3045" xr:uid="{00000000-0005-0000-0000-00005F060000}"/>
    <cellStyle name="_SubHeading_02 TDC Merger Plan_37 Valuation Model incl. new BP" xfId="3046" xr:uid="{00000000-0005-0000-0000-000060060000}"/>
    <cellStyle name="_SubHeading_02 TDC Merger Plan_38 Valuation Model incl. new BP" xfId="3047" xr:uid="{00000000-0005-0000-0000-000061060000}"/>
    <cellStyle name="_SubHeading_02 TDC Merger Plan_39 Valuation Model incl. new BP" xfId="3048" xr:uid="{00000000-0005-0000-0000-000062060000}"/>
    <cellStyle name="_SubHeading_02 TDC Merger Plan_40 Valuation Model incl. new BP" xfId="3049" xr:uid="{00000000-0005-0000-0000-000063060000}"/>
    <cellStyle name="_SubHeading_02 TDC Merger Plan_44 Valuation Model incl. new BP" xfId="3050" xr:uid="{00000000-0005-0000-0000-000064060000}"/>
    <cellStyle name="_SubHeading_02 WACC Analysis" xfId="413" xr:uid="{00000000-0005-0000-0000-000065060000}"/>
    <cellStyle name="_SubHeading_03 Total Expenses" xfId="3051" xr:uid="{00000000-0005-0000-0000-000066060000}"/>
    <cellStyle name="_SubHeading_04 Volatility" xfId="3052" xr:uid="{00000000-0005-0000-0000-000067060000}"/>
    <cellStyle name="_SubHeading_07 Model Alcatel OFD Sept-03" xfId="3053" xr:uid="{00000000-0005-0000-0000-000068060000}"/>
    <cellStyle name="_SubHeading_10 LBO Model Packoma oct 2003" xfId="3054" xr:uid="{00000000-0005-0000-0000-000069060000}"/>
    <cellStyle name="_SubHeading_16 Detail of Key Metrics_mario marco" xfId="2237" xr:uid="{00000000-0005-0000-0000-00006A060000}"/>
    <cellStyle name="_SubHeading_19 Valuation of Cegetel" xfId="3055" xr:uid="{00000000-0005-0000-0000-00006B060000}"/>
    <cellStyle name="_SubHeading_19 Valuation of Cegetel_03_ Clean LBO Model" xfId="3056" xr:uid="{00000000-0005-0000-0000-00006C060000}"/>
    <cellStyle name="_SubHeading_19 Valuation of Cegetel_05_ Clean LBO Model" xfId="3057" xr:uid="{00000000-0005-0000-0000-00006D060000}"/>
    <cellStyle name="_SubHeading_19 Valuation of Cegetel_08 Valuation Model incl. new BP" xfId="3058" xr:uid="{00000000-0005-0000-0000-00006E060000}"/>
    <cellStyle name="_SubHeading_19 Valuation of Cegetel_09 Valuation Model incl. new BP" xfId="3059" xr:uid="{00000000-0005-0000-0000-00006F060000}"/>
    <cellStyle name="_SubHeading_19 Valuation of Cegetel_13 Valuation Model incl. new BP" xfId="3060" xr:uid="{00000000-0005-0000-0000-000070060000}"/>
    <cellStyle name="_SubHeading_19 Valuation of Cegetel_14 Valuation Model incl. new BP" xfId="3061" xr:uid="{00000000-0005-0000-0000-000071060000}"/>
    <cellStyle name="_SubHeading_19 Valuation of Cegetel_15_ Clean LBO Model" xfId="3062" xr:uid="{00000000-0005-0000-0000-000072060000}"/>
    <cellStyle name="_SubHeading_19 Valuation of Cegetel_20 Valuation Model incl. new BP" xfId="3063" xr:uid="{00000000-0005-0000-0000-000073060000}"/>
    <cellStyle name="_SubHeading_19 Valuation of Cegetel_25 Valuation Model incl. new BP" xfId="3064" xr:uid="{00000000-0005-0000-0000-000074060000}"/>
    <cellStyle name="_SubHeading_19 Valuation of Cegetel_33 Valuation Model incl. new BP" xfId="3065" xr:uid="{00000000-0005-0000-0000-000075060000}"/>
    <cellStyle name="_SubHeading_19 Valuation of Cegetel_34 Valuation Model incl. new BP" xfId="3066" xr:uid="{00000000-0005-0000-0000-000076060000}"/>
    <cellStyle name="_SubHeading_19 Valuation of Cegetel_37 Valuation Model incl. new BP" xfId="3067" xr:uid="{00000000-0005-0000-0000-000077060000}"/>
    <cellStyle name="_SubHeading_19 Valuation of Cegetel_38 Valuation Model incl. new BP" xfId="3068" xr:uid="{00000000-0005-0000-0000-000078060000}"/>
    <cellStyle name="_SubHeading_19 Valuation of Cegetel_39 Valuation Model incl. new BP" xfId="3069" xr:uid="{00000000-0005-0000-0000-000079060000}"/>
    <cellStyle name="_SubHeading_19 Valuation of Cegetel_40 Valuation Model incl. new BP" xfId="3070" xr:uid="{00000000-0005-0000-0000-00007A060000}"/>
    <cellStyle name="_SubHeading_19 Valuation of Cegetel_44 Valuation Model incl. new BP" xfId="3071" xr:uid="{00000000-0005-0000-0000-00007B060000}"/>
    <cellStyle name="_SubHeading_190503 Model2" xfId="3072" xr:uid="{00000000-0005-0000-0000-00007C060000}"/>
    <cellStyle name="_SubHeading_20 Operational Model" xfId="3073" xr:uid="{00000000-0005-0000-0000-00007D060000}"/>
    <cellStyle name="_SubHeading_44 Valuation Model incl. new BP" xfId="3074" xr:uid="{00000000-0005-0000-0000-00007E060000}"/>
    <cellStyle name="_SubHeading_58_Model Rexel_Scenarios" xfId="3075" xr:uid="{00000000-0005-0000-0000-00007F060000}"/>
    <cellStyle name="_SubHeading_beta rider" xfId="3076" xr:uid="{00000000-0005-0000-0000-000080060000}"/>
    <cellStyle name="_SubHeading_Betas" xfId="414" xr:uid="{00000000-0005-0000-0000-000081060000}"/>
    <cellStyle name="_SubHeading_Cairo LBO model - Sept 06" xfId="415" xr:uid="{00000000-0005-0000-0000-000082060000}"/>
    <cellStyle name="_SubHeading_carrefour sa carsons ownership" xfId="3077" xr:uid="{00000000-0005-0000-0000-000083060000}"/>
    <cellStyle name="_SubHeading_CSC 10_03_01 (David Brown_85B)" xfId="416" xr:uid="{00000000-0005-0000-0000-000084060000}"/>
    <cellStyle name="_SubHeading_EBITDA to Growth" xfId="3078" xr:uid="{00000000-0005-0000-0000-000085060000}"/>
    <cellStyle name="_SubHeading_Financials &amp; Valuation v16 Indigo" xfId="3079" xr:uid="{00000000-0005-0000-0000-000086060000}"/>
    <cellStyle name="_SubHeading_Marionnaud DCF S))_x0008__x0008_03" xfId="3080" xr:uid="{00000000-0005-0000-0000-000087060000}"/>
    <cellStyle name="_SubHeading_Marionnaud Model_15April" xfId="3081" xr:uid="{00000000-0005-0000-0000-000088060000}"/>
    <cellStyle name="_SubHeading_Numico GS Research Model 23-Aug-2002" xfId="3082" xr:uid="{00000000-0005-0000-0000-000089060000}"/>
    <cellStyle name="_SubHeading_Numico GS Research Model 23-Aug-2002_03_ Clean LBO Model" xfId="3083" xr:uid="{00000000-0005-0000-0000-00008A060000}"/>
    <cellStyle name="_SubHeading_Numico GS Research Model 23-Aug-2002_05_ Clean LBO Model" xfId="3084" xr:uid="{00000000-0005-0000-0000-00008B060000}"/>
    <cellStyle name="_SubHeading_Numico GS Research Model 23-Aug-2002_08 Valuation Model incl. new BP" xfId="3085" xr:uid="{00000000-0005-0000-0000-00008C060000}"/>
    <cellStyle name="_SubHeading_Numico GS Research Model 23-Aug-2002_09 Valuation Model incl. new BP" xfId="3086" xr:uid="{00000000-0005-0000-0000-00008D060000}"/>
    <cellStyle name="_SubHeading_Numico GS Research Model 23-Aug-2002_13 Valuation Model incl. new BP" xfId="3087" xr:uid="{00000000-0005-0000-0000-00008E060000}"/>
    <cellStyle name="_SubHeading_Numico GS Research Model 23-Aug-2002_14 Valuation Model incl. new BP" xfId="3088" xr:uid="{00000000-0005-0000-0000-00008F060000}"/>
    <cellStyle name="_SubHeading_Numico GS Research Model 23-Aug-2002_15_ Clean LBO Model" xfId="3089" xr:uid="{00000000-0005-0000-0000-000090060000}"/>
    <cellStyle name="_SubHeading_Numico GS Research Model 23-Aug-2002_20 Valuation Model incl. new BP" xfId="3090" xr:uid="{00000000-0005-0000-0000-000091060000}"/>
    <cellStyle name="_SubHeading_Numico GS Research Model 23-Aug-2002_25 Valuation Model incl. new BP" xfId="3091" xr:uid="{00000000-0005-0000-0000-000092060000}"/>
    <cellStyle name="_SubHeading_Numico GS Research Model 23-Aug-2002_33 Valuation Model incl. new BP" xfId="3092" xr:uid="{00000000-0005-0000-0000-000093060000}"/>
    <cellStyle name="_SubHeading_Numico GS Research Model 23-Aug-2002_34 Valuation Model incl. new BP" xfId="3093" xr:uid="{00000000-0005-0000-0000-000094060000}"/>
    <cellStyle name="_SubHeading_Numico GS Research Model 23-Aug-2002_37 Valuation Model incl. new BP" xfId="3094" xr:uid="{00000000-0005-0000-0000-000095060000}"/>
    <cellStyle name="_SubHeading_Numico GS Research Model 23-Aug-2002_38 Valuation Model incl. new BP" xfId="3095" xr:uid="{00000000-0005-0000-0000-000096060000}"/>
    <cellStyle name="_SubHeading_Numico GS Research Model 23-Aug-2002_39 Valuation Model incl. new BP" xfId="3096" xr:uid="{00000000-0005-0000-0000-000097060000}"/>
    <cellStyle name="_SubHeading_Numico GS Research Model 23-Aug-2002_40 Valuation Model incl. new BP" xfId="3097" xr:uid="{00000000-0005-0000-0000-000098060000}"/>
    <cellStyle name="_SubHeading_Numico GS Research Model 23-Aug-2002_44 Valuation Model incl. new BP" xfId="3098" xr:uid="{00000000-0005-0000-0000-000099060000}"/>
    <cellStyle name="_SubHeading_Numico GS Research Model 23-Aug-2002_CSC July 24" xfId="3099" xr:uid="{00000000-0005-0000-0000-00009A060000}"/>
    <cellStyle name="_SubHeading_Offering Breakdown - 09-Jun -2005" xfId="3100" xr:uid="{00000000-0005-0000-0000-00009B060000}"/>
    <cellStyle name="_SubHeading_prestemp" xfId="417" xr:uid="{00000000-0005-0000-0000-00009C060000}"/>
    <cellStyle name="_SubHeading_SantaLucia Debt Coverage analysis - 12 June 2001" xfId="3101" xr:uid="{00000000-0005-0000-0000-00009D060000}"/>
    <cellStyle name="_SubHeading_Sensitivity analysis on synergies (amended)" xfId="3102" xr:uid="{00000000-0005-0000-0000-00009E060000}"/>
    <cellStyle name="_SubHeading_StockGroupKeyFinancials" xfId="418" xr:uid="{00000000-0005-0000-0000-00009F060000}"/>
    <cellStyle name="_SubHeading_Volatility" xfId="3103" xr:uid="{00000000-0005-0000-0000-0000A0060000}"/>
    <cellStyle name="_Table" xfId="419" xr:uid="{00000000-0005-0000-0000-0000A1060000}"/>
    <cellStyle name="_Table 2" xfId="3645" xr:uid="{00000000-0005-0000-0000-0000A2060000}"/>
    <cellStyle name="_Table_01 Capital Structure" xfId="3104" xr:uid="{00000000-0005-0000-0000-0000A3060000}"/>
    <cellStyle name="_Table_01 Capital Structure 2" xfId="3716" xr:uid="{00000000-0005-0000-0000-0000A4060000}"/>
    <cellStyle name="_Table_01 Capital Structure_03_ Clean LBO Model" xfId="3105" xr:uid="{00000000-0005-0000-0000-0000A5060000}"/>
    <cellStyle name="_Table_01 Capital Structure_03_ Clean LBO Model 2" xfId="3717" xr:uid="{00000000-0005-0000-0000-0000A6060000}"/>
    <cellStyle name="_Table_01 Capital Structure_05_ Clean LBO Model" xfId="3106" xr:uid="{00000000-0005-0000-0000-0000A7060000}"/>
    <cellStyle name="_Table_01 Capital Structure_05_ Clean LBO Model 2" xfId="3718" xr:uid="{00000000-0005-0000-0000-0000A8060000}"/>
    <cellStyle name="_Table_01 Capital Structure_08 Valuation Model incl. new BP" xfId="3107" xr:uid="{00000000-0005-0000-0000-0000A9060000}"/>
    <cellStyle name="_Table_01 Capital Structure_08 Valuation Model incl. new BP 2" xfId="3719" xr:uid="{00000000-0005-0000-0000-0000AA060000}"/>
    <cellStyle name="_Table_01 Capital Structure_09 Valuation Model incl. new BP" xfId="3108" xr:uid="{00000000-0005-0000-0000-0000AB060000}"/>
    <cellStyle name="_Table_01 Capital Structure_09 Valuation Model incl. new BP 2" xfId="3720" xr:uid="{00000000-0005-0000-0000-0000AC060000}"/>
    <cellStyle name="_Table_01 Capital Structure_13 Valuation Model incl. new BP" xfId="3109" xr:uid="{00000000-0005-0000-0000-0000AD060000}"/>
    <cellStyle name="_Table_01 Capital Structure_13 Valuation Model incl. new BP 2" xfId="3721" xr:uid="{00000000-0005-0000-0000-0000AE060000}"/>
    <cellStyle name="_Table_01 Capital Structure_14 Valuation Model incl. new BP" xfId="3110" xr:uid="{00000000-0005-0000-0000-0000AF060000}"/>
    <cellStyle name="_Table_01 Capital Structure_14 Valuation Model incl. new BP 2" xfId="3722" xr:uid="{00000000-0005-0000-0000-0000B0060000}"/>
    <cellStyle name="_Table_01 Capital Structure_15_ Clean LBO Model" xfId="3111" xr:uid="{00000000-0005-0000-0000-0000B1060000}"/>
    <cellStyle name="_Table_01 Capital Structure_15_ Clean LBO Model 2" xfId="3723" xr:uid="{00000000-0005-0000-0000-0000B2060000}"/>
    <cellStyle name="_Table_01 Capital Structure_20 Valuation Model incl. new BP" xfId="3112" xr:uid="{00000000-0005-0000-0000-0000B3060000}"/>
    <cellStyle name="_Table_01 Capital Structure_20 Valuation Model incl. new BP 2" xfId="3724" xr:uid="{00000000-0005-0000-0000-0000B4060000}"/>
    <cellStyle name="_Table_01 Capital Structure_25 Valuation Model incl. new BP" xfId="3113" xr:uid="{00000000-0005-0000-0000-0000B5060000}"/>
    <cellStyle name="_Table_01 Capital Structure_25 Valuation Model incl. new BP 2" xfId="3725" xr:uid="{00000000-0005-0000-0000-0000B6060000}"/>
    <cellStyle name="_Table_01 Capital Structure_33 Valuation Model incl. new BP" xfId="3114" xr:uid="{00000000-0005-0000-0000-0000B7060000}"/>
    <cellStyle name="_Table_01 Capital Structure_33 Valuation Model incl. new BP 2" xfId="3726" xr:uid="{00000000-0005-0000-0000-0000B8060000}"/>
    <cellStyle name="_Table_01 Capital Structure_34 Valuation Model incl. new BP" xfId="3115" xr:uid="{00000000-0005-0000-0000-0000B9060000}"/>
    <cellStyle name="_Table_01 Capital Structure_34 Valuation Model incl. new BP 2" xfId="3727" xr:uid="{00000000-0005-0000-0000-0000BA060000}"/>
    <cellStyle name="_Table_01 Capital Structure_37 Valuation Model incl. new BP" xfId="3116" xr:uid="{00000000-0005-0000-0000-0000BB060000}"/>
    <cellStyle name="_Table_01 Capital Structure_37 Valuation Model incl. new BP 2" xfId="3728" xr:uid="{00000000-0005-0000-0000-0000BC060000}"/>
    <cellStyle name="_Table_01 Capital Structure_38 Valuation Model incl. new BP" xfId="3117" xr:uid="{00000000-0005-0000-0000-0000BD060000}"/>
    <cellStyle name="_Table_01 Capital Structure_38 Valuation Model incl. new BP 2" xfId="3729" xr:uid="{00000000-0005-0000-0000-0000BE060000}"/>
    <cellStyle name="_Table_01 Capital Structure_39 Valuation Model incl. new BP" xfId="3118" xr:uid="{00000000-0005-0000-0000-0000BF060000}"/>
    <cellStyle name="_Table_01 Capital Structure_39 Valuation Model incl. new BP 2" xfId="3730" xr:uid="{00000000-0005-0000-0000-0000C0060000}"/>
    <cellStyle name="_Table_01 Capital Structure_40 Valuation Model incl. new BP" xfId="3119" xr:uid="{00000000-0005-0000-0000-0000C1060000}"/>
    <cellStyle name="_Table_01 Capital Structure_40 Valuation Model incl. new BP 2" xfId="3731" xr:uid="{00000000-0005-0000-0000-0000C2060000}"/>
    <cellStyle name="_Table_01 Capital Structure_44 Valuation Model incl. new BP" xfId="3120" xr:uid="{00000000-0005-0000-0000-0000C3060000}"/>
    <cellStyle name="_Table_01 Capital Structure_44 Valuation Model incl. new BP 2" xfId="3732" xr:uid="{00000000-0005-0000-0000-0000C4060000}"/>
    <cellStyle name="_Table_01 Offering Breakdown" xfId="3121" xr:uid="{00000000-0005-0000-0000-0000C5060000}"/>
    <cellStyle name="_Table_01 Offering Breakdown 2" xfId="3733" xr:uid="{00000000-0005-0000-0000-0000C6060000}"/>
    <cellStyle name="_Table_02 DCF" xfId="3122" xr:uid="{00000000-0005-0000-0000-0000C7060000}"/>
    <cellStyle name="_Table_02 DCF 2" xfId="3734" xr:uid="{00000000-0005-0000-0000-0000C8060000}"/>
    <cellStyle name="_Table_02 Enersys Merger Plan" xfId="3123" xr:uid="{00000000-0005-0000-0000-0000C9060000}"/>
    <cellStyle name="_Table_02 Enersys Merger Plan 2" xfId="3735" xr:uid="{00000000-0005-0000-0000-0000CA060000}"/>
    <cellStyle name="_Table_02 Enersys Merger Plan_03_ Clean LBO Model" xfId="3124" xr:uid="{00000000-0005-0000-0000-0000CB060000}"/>
    <cellStyle name="_Table_02 Enersys Merger Plan_03_ Clean LBO Model 2" xfId="3736" xr:uid="{00000000-0005-0000-0000-0000CC060000}"/>
    <cellStyle name="_Table_02 Enersys Merger Plan_05_ Clean LBO Model" xfId="3125" xr:uid="{00000000-0005-0000-0000-0000CD060000}"/>
    <cellStyle name="_Table_02 Enersys Merger Plan_05_ Clean LBO Model 2" xfId="3737" xr:uid="{00000000-0005-0000-0000-0000CE060000}"/>
    <cellStyle name="_Table_02 Enersys Merger Plan_08 Valuation Model incl. new BP" xfId="3126" xr:uid="{00000000-0005-0000-0000-0000CF060000}"/>
    <cellStyle name="_Table_02 Enersys Merger Plan_08 Valuation Model incl. new BP 2" xfId="3738" xr:uid="{00000000-0005-0000-0000-0000D0060000}"/>
    <cellStyle name="_Table_02 Enersys Merger Plan_09 Valuation Model incl. new BP" xfId="3127" xr:uid="{00000000-0005-0000-0000-0000D1060000}"/>
    <cellStyle name="_Table_02 Enersys Merger Plan_09 Valuation Model incl. new BP 2" xfId="3739" xr:uid="{00000000-0005-0000-0000-0000D2060000}"/>
    <cellStyle name="_Table_02 Enersys Merger Plan_13 Valuation Model incl. new BP" xfId="3128" xr:uid="{00000000-0005-0000-0000-0000D3060000}"/>
    <cellStyle name="_Table_02 Enersys Merger Plan_13 Valuation Model incl. new BP 2" xfId="3740" xr:uid="{00000000-0005-0000-0000-0000D4060000}"/>
    <cellStyle name="_Table_02 Enersys Merger Plan_14 Valuation Model incl. new BP" xfId="3129" xr:uid="{00000000-0005-0000-0000-0000D5060000}"/>
    <cellStyle name="_Table_02 Enersys Merger Plan_14 Valuation Model incl. new BP 2" xfId="3741" xr:uid="{00000000-0005-0000-0000-0000D6060000}"/>
    <cellStyle name="_Table_02 Enersys Merger Plan_15_ Clean LBO Model" xfId="3130" xr:uid="{00000000-0005-0000-0000-0000D7060000}"/>
    <cellStyle name="_Table_02 Enersys Merger Plan_15_ Clean LBO Model 2" xfId="3742" xr:uid="{00000000-0005-0000-0000-0000D8060000}"/>
    <cellStyle name="_Table_02 Enersys Merger Plan_20 Valuation Model incl. new BP" xfId="3131" xr:uid="{00000000-0005-0000-0000-0000D9060000}"/>
    <cellStyle name="_Table_02 Enersys Merger Plan_20 Valuation Model incl. new BP 2" xfId="3743" xr:uid="{00000000-0005-0000-0000-0000DA060000}"/>
    <cellStyle name="_Table_02 Enersys Merger Plan_25 Valuation Model incl. new BP" xfId="3132" xr:uid="{00000000-0005-0000-0000-0000DB060000}"/>
    <cellStyle name="_Table_02 Enersys Merger Plan_25 Valuation Model incl. new BP 2" xfId="3744" xr:uid="{00000000-0005-0000-0000-0000DC060000}"/>
    <cellStyle name="_Table_02 Enersys Merger Plan_33 Valuation Model incl. new BP" xfId="3133" xr:uid="{00000000-0005-0000-0000-0000DD060000}"/>
    <cellStyle name="_Table_02 Enersys Merger Plan_33 Valuation Model incl. new BP 2" xfId="3745" xr:uid="{00000000-0005-0000-0000-0000DE060000}"/>
    <cellStyle name="_Table_02 Enersys Merger Plan_34 Valuation Model incl. new BP" xfId="3134" xr:uid="{00000000-0005-0000-0000-0000DF060000}"/>
    <cellStyle name="_Table_02 Enersys Merger Plan_34 Valuation Model incl. new BP 2" xfId="3746" xr:uid="{00000000-0005-0000-0000-0000E0060000}"/>
    <cellStyle name="_Table_02 Enersys Merger Plan_37 Valuation Model incl. new BP" xfId="3135" xr:uid="{00000000-0005-0000-0000-0000E1060000}"/>
    <cellStyle name="_Table_02 Enersys Merger Plan_37 Valuation Model incl. new BP 2" xfId="3747" xr:uid="{00000000-0005-0000-0000-0000E2060000}"/>
    <cellStyle name="_Table_02 Enersys Merger Plan_38 Valuation Model incl. new BP" xfId="3136" xr:uid="{00000000-0005-0000-0000-0000E3060000}"/>
    <cellStyle name="_Table_02 Enersys Merger Plan_38 Valuation Model incl. new BP 2" xfId="3748" xr:uid="{00000000-0005-0000-0000-0000E4060000}"/>
    <cellStyle name="_Table_02 Enersys Merger Plan_39 Valuation Model incl. new BP" xfId="3137" xr:uid="{00000000-0005-0000-0000-0000E5060000}"/>
    <cellStyle name="_Table_02 Enersys Merger Plan_39 Valuation Model incl. new BP 2" xfId="3749" xr:uid="{00000000-0005-0000-0000-0000E6060000}"/>
    <cellStyle name="_Table_02 Enersys Merger Plan_40 Valuation Model incl. new BP" xfId="3138" xr:uid="{00000000-0005-0000-0000-0000E7060000}"/>
    <cellStyle name="_Table_02 Enersys Merger Plan_40 Valuation Model incl. new BP 2" xfId="3750" xr:uid="{00000000-0005-0000-0000-0000E8060000}"/>
    <cellStyle name="_Table_02 Enersys Merger Plan_44 Valuation Model incl. new BP" xfId="3139" xr:uid="{00000000-0005-0000-0000-0000E9060000}"/>
    <cellStyle name="_Table_02 Enersys Merger Plan_44 Valuation Model incl. new BP 2" xfId="3751" xr:uid="{00000000-0005-0000-0000-0000EA060000}"/>
    <cellStyle name="_Table_02 Mobile CSC" xfId="3140" xr:uid="{00000000-0005-0000-0000-0000EB060000}"/>
    <cellStyle name="_Table_02 Mobile CSC 2" xfId="3752" xr:uid="{00000000-0005-0000-0000-0000EC060000}"/>
    <cellStyle name="_Table_02 TDC Merger Plan" xfId="3141" xr:uid="{00000000-0005-0000-0000-0000ED060000}"/>
    <cellStyle name="_Table_02 TDC Merger Plan 2" xfId="3753" xr:uid="{00000000-0005-0000-0000-0000EE060000}"/>
    <cellStyle name="_Table_02 TDC Merger Plan_03_ Clean LBO Model" xfId="3142" xr:uid="{00000000-0005-0000-0000-0000EF060000}"/>
    <cellStyle name="_Table_02 TDC Merger Plan_03_ Clean LBO Model 2" xfId="3754" xr:uid="{00000000-0005-0000-0000-0000F0060000}"/>
    <cellStyle name="_Table_02 TDC Merger Plan_05_ Clean LBO Model" xfId="3143" xr:uid="{00000000-0005-0000-0000-0000F1060000}"/>
    <cellStyle name="_Table_02 TDC Merger Plan_05_ Clean LBO Model 2" xfId="3755" xr:uid="{00000000-0005-0000-0000-0000F2060000}"/>
    <cellStyle name="_Table_02 TDC Merger Plan_08 Valuation Model incl. new BP" xfId="3144" xr:uid="{00000000-0005-0000-0000-0000F3060000}"/>
    <cellStyle name="_Table_02 TDC Merger Plan_08 Valuation Model incl. new BP 2" xfId="3756" xr:uid="{00000000-0005-0000-0000-0000F4060000}"/>
    <cellStyle name="_Table_02 TDC Merger Plan_09 Valuation Model incl. new BP" xfId="3145" xr:uid="{00000000-0005-0000-0000-0000F5060000}"/>
    <cellStyle name="_Table_02 TDC Merger Plan_09 Valuation Model incl. new BP 2" xfId="3757" xr:uid="{00000000-0005-0000-0000-0000F6060000}"/>
    <cellStyle name="_Table_02 TDC Merger Plan_13 Valuation Model incl. new BP" xfId="3146" xr:uid="{00000000-0005-0000-0000-0000F7060000}"/>
    <cellStyle name="_Table_02 TDC Merger Plan_13 Valuation Model incl. new BP 2" xfId="3758" xr:uid="{00000000-0005-0000-0000-0000F8060000}"/>
    <cellStyle name="_Table_02 TDC Merger Plan_14 Valuation Model incl. new BP" xfId="3147" xr:uid="{00000000-0005-0000-0000-0000F9060000}"/>
    <cellStyle name="_Table_02 TDC Merger Plan_14 Valuation Model incl. new BP 2" xfId="3759" xr:uid="{00000000-0005-0000-0000-0000FA060000}"/>
    <cellStyle name="_Table_02 TDC Merger Plan_15_ Clean LBO Model" xfId="3148" xr:uid="{00000000-0005-0000-0000-0000FB060000}"/>
    <cellStyle name="_Table_02 TDC Merger Plan_15_ Clean LBO Model 2" xfId="3760" xr:uid="{00000000-0005-0000-0000-0000FC060000}"/>
    <cellStyle name="_Table_02 TDC Merger Plan_20 Valuation Model incl. new BP" xfId="3149" xr:uid="{00000000-0005-0000-0000-0000FD060000}"/>
    <cellStyle name="_Table_02 TDC Merger Plan_20 Valuation Model incl. new BP 2" xfId="3761" xr:uid="{00000000-0005-0000-0000-0000FE060000}"/>
    <cellStyle name="_Table_02 TDC Merger Plan_25 Valuation Model incl. new BP" xfId="3150" xr:uid="{00000000-0005-0000-0000-0000FF060000}"/>
    <cellStyle name="_Table_02 TDC Merger Plan_25 Valuation Model incl. new BP 2" xfId="3762" xr:uid="{00000000-0005-0000-0000-000000070000}"/>
    <cellStyle name="_Table_02 TDC Merger Plan_33 Valuation Model incl. new BP" xfId="3151" xr:uid="{00000000-0005-0000-0000-000001070000}"/>
    <cellStyle name="_Table_02 TDC Merger Plan_33 Valuation Model incl. new BP 2" xfId="3763" xr:uid="{00000000-0005-0000-0000-000002070000}"/>
    <cellStyle name="_Table_02 TDC Merger Plan_34 Valuation Model incl. new BP" xfId="3152" xr:uid="{00000000-0005-0000-0000-000003070000}"/>
    <cellStyle name="_Table_02 TDC Merger Plan_34 Valuation Model incl. new BP 2" xfId="3764" xr:uid="{00000000-0005-0000-0000-000004070000}"/>
    <cellStyle name="_Table_02 TDC Merger Plan_37 Valuation Model incl. new BP" xfId="3153" xr:uid="{00000000-0005-0000-0000-000005070000}"/>
    <cellStyle name="_Table_02 TDC Merger Plan_37 Valuation Model incl. new BP 2" xfId="3765" xr:uid="{00000000-0005-0000-0000-000006070000}"/>
    <cellStyle name="_Table_02 TDC Merger Plan_38 Valuation Model incl. new BP" xfId="3154" xr:uid="{00000000-0005-0000-0000-000007070000}"/>
    <cellStyle name="_Table_02 TDC Merger Plan_38 Valuation Model incl. new BP 2" xfId="3766" xr:uid="{00000000-0005-0000-0000-000008070000}"/>
    <cellStyle name="_Table_02 TDC Merger Plan_39 Valuation Model incl. new BP" xfId="3155" xr:uid="{00000000-0005-0000-0000-000009070000}"/>
    <cellStyle name="_Table_02 TDC Merger Plan_39 Valuation Model incl. new BP 2" xfId="3767" xr:uid="{00000000-0005-0000-0000-00000A070000}"/>
    <cellStyle name="_Table_02 TDC Merger Plan_40 Valuation Model incl. new BP" xfId="3156" xr:uid="{00000000-0005-0000-0000-00000B070000}"/>
    <cellStyle name="_Table_02 TDC Merger Plan_40 Valuation Model incl. new BP 2" xfId="3768" xr:uid="{00000000-0005-0000-0000-00000C070000}"/>
    <cellStyle name="_Table_02 TDC Merger Plan_44 Valuation Model incl. new BP" xfId="3157" xr:uid="{00000000-0005-0000-0000-00000D070000}"/>
    <cellStyle name="_Table_02 TDC Merger Plan_44 Valuation Model incl. new BP 2" xfId="3769" xr:uid="{00000000-0005-0000-0000-00000E070000}"/>
    <cellStyle name="_Table_02 WACC Analysis" xfId="420" xr:uid="{00000000-0005-0000-0000-00000F070000}"/>
    <cellStyle name="_Table_02 WACC Analysis 2" xfId="3646" xr:uid="{00000000-0005-0000-0000-000010070000}"/>
    <cellStyle name="_Table_03 Total Expenses" xfId="3158" xr:uid="{00000000-0005-0000-0000-000011070000}"/>
    <cellStyle name="_Table_03 Total Expenses 2" xfId="3770" xr:uid="{00000000-0005-0000-0000-000012070000}"/>
    <cellStyle name="_Table_04 Volatility" xfId="3159" xr:uid="{00000000-0005-0000-0000-000013070000}"/>
    <cellStyle name="_Table_04 Volatility 2" xfId="3771" xr:uid="{00000000-0005-0000-0000-000014070000}"/>
    <cellStyle name="_Table_07 Model Alcatel OFD Sept-03" xfId="3160" xr:uid="{00000000-0005-0000-0000-000015070000}"/>
    <cellStyle name="_Table_07 Model Alcatel OFD Sept-03 2" xfId="3772" xr:uid="{00000000-0005-0000-0000-000016070000}"/>
    <cellStyle name="_Table_10 LBO Model Packoma oct 2003" xfId="3162" xr:uid="{00000000-0005-0000-0000-000018070000}"/>
    <cellStyle name="_Table_10- C-lion Merger and Valuation Analysis" xfId="3161" xr:uid="{00000000-0005-0000-0000-000017070000}"/>
    <cellStyle name="_Table_19 Valuation of Cegetel" xfId="3163" xr:uid="{00000000-0005-0000-0000-000019070000}"/>
    <cellStyle name="_Table_19 Valuation of Cegetel 2" xfId="3773" xr:uid="{00000000-0005-0000-0000-00001A070000}"/>
    <cellStyle name="_Table_19 Valuation of Cegetel_03_ Clean LBO Model" xfId="3164" xr:uid="{00000000-0005-0000-0000-00001B070000}"/>
    <cellStyle name="_Table_19 Valuation of Cegetel_03_ Clean LBO Model 2" xfId="3774" xr:uid="{00000000-0005-0000-0000-00001C070000}"/>
    <cellStyle name="_Table_19 Valuation of Cegetel_05_ Clean LBO Model" xfId="3165" xr:uid="{00000000-0005-0000-0000-00001D070000}"/>
    <cellStyle name="_Table_19 Valuation of Cegetel_05_ Clean LBO Model 2" xfId="3775" xr:uid="{00000000-0005-0000-0000-00001E070000}"/>
    <cellStyle name="_Table_19 Valuation of Cegetel_08 Valuation Model incl. new BP" xfId="3166" xr:uid="{00000000-0005-0000-0000-00001F070000}"/>
    <cellStyle name="_Table_19 Valuation of Cegetel_08 Valuation Model incl. new BP 2" xfId="3776" xr:uid="{00000000-0005-0000-0000-000020070000}"/>
    <cellStyle name="_Table_19 Valuation of Cegetel_09 Valuation Model incl. new BP" xfId="3167" xr:uid="{00000000-0005-0000-0000-000021070000}"/>
    <cellStyle name="_Table_19 Valuation of Cegetel_09 Valuation Model incl. new BP 2" xfId="3777" xr:uid="{00000000-0005-0000-0000-000022070000}"/>
    <cellStyle name="_Table_19 Valuation of Cegetel_13 Valuation Model incl. new BP" xfId="3168" xr:uid="{00000000-0005-0000-0000-000023070000}"/>
    <cellStyle name="_Table_19 Valuation of Cegetel_13 Valuation Model incl. new BP 2" xfId="3778" xr:uid="{00000000-0005-0000-0000-000024070000}"/>
    <cellStyle name="_Table_19 Valuation of Cegetel_14 Valuation Model incl. new BP" xfId="3169" xr:uid="{00000000-0005-0000-0000-000025070000}"/>
    <cellStyle name="_Table_19 Valuation of Cegetel_14 Valuation Model incl. new BP 2" xfId="3779" xr:uid="{00000000-0005-0000-0000-000026070000}"/>
    <cellStyle name="_Table_19 Valuation of Cegetel_15_ Clean LBO Model" xfId="3170" xr:uid="{00000000-0005-0000-0000-000027070000}"/>
    <cellStyle name="_Table_19 Valuation of Cegetel_15_ Clean LBO Model 2" xfId="3780" xr:uid="{00000000-0005-0000-0000-000028070000}"/>
    <cellStyle name="_Table_19 Valuation of Cegetel_20 Valuation Model incl. new BP" xfId="3171" xr:uid="{00000000-0005-0000-0000-000029070000}"/>
    <cellStyle name="_Table_19 Valuation of Cegetel_20 Valuation Model incl. new BP 2" xfId="3781" xr:uid="{00000000-0005-0000-0000-00002A070000}"/>
    <cellStyle name="_Table_19 Valuation of Cegetel_25 Valuation Model incl. new BP" xfId="3172" xr:uid="{00000000-0005-0000-0000-00002B070000}"/>
    <cellStyle name="_Table_19 Valuation of Cegetel_25 Valuation Model incl. new BP 2" xfId="3782" xr:uid="{00000000-0005-0000-0000-00002C070000}"/>
    <cellStyle name="_Table_19 Valuation of Cegetel_33 Valuation Model incl. new BP" xfId="3173" xr:uid="{00000000-0005-0000-0000-00002D070000}"/>
    <cellStyle name="_Table_19 Valuation of Cegetel_33 Valuation Model incl. new BP 2" xfId="3783" xr:uid="{00000000-0005-0000-0000-00002E070000}"/>
    <cellStyle name="_Table_19 Valuation of Cegetel_34 Valuation Model incl. new BP" xfId="3174" xr:uid="{00000000-0005-0000-0000-00002F070000}"/>
    <cellStyle name="_Table_19 Valuation of Cegetel_34 Valuation Model incl. new BP 2" xfId="3784" xr:uid="{00000000-0005-0000-0000-000030070000}"/>
    <cellStyle name="_Table_19 Valuation of Cegetel_37 Valuation Model incl. new BP" xfId="3175" xr:uid="{00000000-0005-0000-0000-000031070000}"/>
    <cellStyle name="_Table_19 Valuation of Cegetel_37 Valuation Model incl. new BP 2" xfId="3785" xr:uid="{00000000-0005-0000-0000-000032070000}"/>
    <cellStyle name="_Table_19 Valuation of Cegetel_38 Valuation Model incl. new BP" xfId="3176" xr:uid="{00000000-0005-0000-0000-000033070000}"/>
    <cellStyle name="_Table_19 Valuation of Cegetel_38 Valuation Model incl. new BP 2" xfId="3786" xr:uid="{00000000-0005-0000-0000-000034070000}"/>
    <cellStyle name="_Table_19 Valuation of Cegetel_39 Valuation Model incl. new BP" xfId="3177" xr:uid="{00000000-0005-0000-0000-000035070000}"/>
    <cellStyle name="_Table_19 Valuation of Cegetel_39 Valuation Model incl. new BP 2" xfId="3787" xr:uid="{00000000-0005-0000-0000-000036070000}"/>
    <cellStyle name="_Table_19 Valuation of Cegetel_40 Valuation Model incl. new BP" xfId="3178" xr:uid="{00000000-0005-0000-0000-000037070000}"/>
    <cellStyle name="_Table_19 Valuation of Cegetel_40 Valuation Model incl. new BP 2" xfId="3788" xr:uid="{00000000-0005-0000-0000-000038070000}"/>
    <cellStyle name="_Table_19 Valuation of Cegetel_44 Valuation Model incl. new BP" xfId="3179" xr:uid="{00000000-0005-0000-0000-000039070000}"/>
    <cellStyle name="_Table_19 Valuation of Cegetel_44 Valuation Model incl. new BP 2" xfId="3789" xr:uid="{00000000-0005-0000-0000-00003A070000}"/>
    <cellStyle name="_Table_190503 Model2" xfId="3180" xr:uid="{00000000-0005-0000-0000-00003B070000}"/>
    <cellStyle name="_Table_190503 Model2 2" xfId="3790" xr:uid="{00000000-0005-0000-0000-00003C070000}"/>
    <cellStyle name="_Table_20 Operational Model" xfId="3181" xr:uid="{00000000-0005-0000-0000-00003D070000}"/>
    <cellStyle name="_Table_20 Operational Model 2" xfId="3791" xr:uid="{00000000-0005-0000-0000-00003E070000}"/>
    <cellStyle name="_Table_2001 09 20" xfId="3182" xr:uid="{00000000-0005-0000-0000-00003F070000}"/>
    <cellStyle name="_Table_44 Valuation Model incl. new BP" xfId="3183" xr:uid="{00000000-0005-0000-0000-000040070000}"/>
    <cellStyle name="_Table_44 Valuation Model incl. new BP 2" xfId="3792" xr:uid="{00000000-0005-0000-0000-000041070000}"/>
    <cellStyle name="_Table_58_Model Rexel_Scenarios" xfId="3184" xr:uid="{00000000-0005-0000-0000-000042070000}"/>
    <cellStyle name="_Table_Accretion_Management_19Sep" xfId="3185" xr:uid="{00000000-0005-0000-0000-000043070000}"/>
    <cellStyle name="_Table_Accretion_Management_21Aug.2" xfId="3186" xr:uid="{00000000-0005-0000-0000-000044070000}"/>
    <cellStyle name="_Table_Accretion_Management_Sep1" xfId="3187" xr:uid="{00000000-0005-0000-0000-000045070000}"/>
    <cellStyle name="_Table_Barra Betas1" xfId="3188" xr:uid="{00000000-0005-0000-0000-000046070000}"/>
    <cellStyle name="_Table_Barra Betas1 2" xfId="3793" xr:uid="{00000000-0005-0000-0000-000047070000}"/>
    <cellStyle name="_Table_Betas" xfId="421" xr:uid="{00000000-0005-0000-0000-000048070000}"/>
    <cellStyle name="_Table_Betas 2" xfId="3647" xr:uid="{00000000-0005-0000-0000-000049070000}"/>
    <cellStyle name="_Table_Bottom-Up Site Analysis (220801)" xfId="3189" xr:uid="{00000000-0005-0000-0000-00004A070000}"/>
    <cellStyle name="_Table_Bottom-Up Site Analysis (220801) 2" xfId="3794" xr:uid="{00000000-0005-0000-0000-00004B070000}"/>
    <cellStyle name="_Table_Bottom-Up Site Analysis v2" xfId="3190" xr:uid="{00000000-0005-0000-0000-00004C070000}"/>
    <cellStyle name="_Table_Bottom-Up Site Analysis v2 2" xfId="3795" xr:uid="{00000000-0005-0000-0000-00004D070000}"/>
    <cellStyle name="_Table_Cairo LBO model - Sept 06" xfId="422" xr:uid="{00000000-0005-0000-0000-00004E070000}"/>
    <cellStyle name="_Table_Cairo LBO model - Sept 06 2" xfId="3648" xr:uid="{00000000-0005-0000-0000-00004F070000}"/>
    <cellStyle name="_Table_Casto DCF_June22" xfId="3191" xr:uid="{00000000-0005-0000-0000-000050070000}"/>
    <cellStyle name="_Table_Contribution analysis" xfId="3192" xr:uid="{00000000-0005-0000-0000-000051070000}"/>
    <cellStyle name="_Table_Contribution Analysis_Brokers_Sep2" xfId="3193" xr:uid="{00000000-0005-0000-0000-000052070000}"/>
    <cellStyle name="_Table_Contribution Analysis_Brokers_Sep6" xfId="3194" xr:uid="{00000000-0005-0000-0000-000053070000}"/>
    <cellStyle name="_Table_CSC - revised version 27 october" xfId="3195" xr:uid="{00000000-0005-0000-0000-000054070000}"/>
    <cellStyle name="_Table_CSC - revised version 27 october 2" xfId="3796" xr:uid="{00000000-0005-0000-0000-000055070000}"/>
    <cellStyle name="_Table_DCF - July 2, 2001" xfId="3196" xr:uid="{00000000-0005-0000-0000-000056070000}"/>
    <cellStyle name="_Table_deal comp data 99 reduced" xfId="3197" xr:uid="{00000000-0005-0000-0000-000057070000}"/>
    <cellStyle name="_Table_deal comp data 99 reduced 2" xfId="3797" xr:uid="{00000000-0005-0000-0000-000058070000}"/>
    <cellStyle name="_Table_Feeder" xfId="423" xr:uid="{00000000-0005-0000-0000-000059070000}"/>
    <cellStyle name="_Table_Feeder 2" xfId="3649" xr:uid="{00000000-0005-0000-0000-00005A070000}"/>
    <cellStyle name="_Table_Financial and Credit Impact" xfId="3198" xr:uid="{00000000-0005-0000-0000-00005B070000}"/>
    <cellStyle name="_Table_Financial and Credit Impact 2" xfId="3798" xr:uid="{00000000-0005-0000-0000-00005C070000}"/>
    <cellStyle name="_Table_Financial Model v75.0" xfId="3199" xr:uid="{00000000-0005-0000-0000-00005D070000}"/>
    <cellStyle name="_Table_Financials &amp; Valuation v16 Indigo" xfId="3200" xr:uid="{00000000-0005-0000-0000-00005E070000}"/>
    <cellStyle name="_Table_Financing alternatives key credit" xfId="3201" xr:uid="{00000000-0005-0000-0000-00005F070000}"/>
    <cellStyle name="_Table_Financing alternatives key credit 2" xfId="3799" xr:uid="{00000000-0005-0000-0000-000060070000}"/>
    <cellStyle name="_Table_liberate fact sheet" xfId="3202" xr:uid="{00000000-0005-0000-0000-000061070000}"/>
    <cellStyle name="_Table_M&amp;A Model" xfId="424" xr:uid="{00000000-0005-0000-0000-000062070000}"/>
    <cellStyle name="_Table_M&amp;A Model 2" xfId="3650" xr:uid="{00000000-0005-0000-0000-000063070000}"/>
    <cellStyle name="_Table_M&amp;A projections" xfId="425" xr:uid="{00000000-0005-0000-0000-000064070000}"/>
    <cellStyle name="_Table_M&amp;A projections 2" xfId="3651" xr:uid="{00000000-0005-0000-0000-000065070000}"/>
    <cellStyle name="_Table_Marionnaud DCF Sept-03" xfId="3203" xr:uid="{00000000-0005-0000-0000-000066070000}"/>
    <cellStyle name="_Table_Marionnaud DCF Sept-03 2" xfId="3800" xr:uid="{00000000-0005-0000-0000-000067070000}"/>
    <cellStyle name="_Table_Marionnaud Model_15April" xfId="3204" xr:uid="{00000000-0005-0000-0000-000068070000}"/>
    <cellStyle name="_Table_Marionnaud Model_15April 2" xfId="3801" xr:uid="{00000000-0005-0000-0000-000069070000}"/>
    <cellStyle name="_Table_Modele Sigma-Kalon - 7 dec 01" xfId="3205" xr:uid="{00000000-0005-0000-0000-00006A070000}"/>
    <cellStyle name="_Table_MTU Diesel LBO Model" xfId="426" xr:uid="{00000000-0005-0000-0000-00006B070000}"/>
    <cellStyle name="_Table_MTU Diesel LBO Model 2" xfId="3652" xr:uid="{00000000-0005-0000-0000-00006C070000}"/>
    <cellStyle name="_Table_NKF_HomeDepot_2Aug" xfId="3206" xr:uid="{00000000-0005-0000-0000-00006D070000}"/>
    <cellStyle name="_Table_Offering Breakdown - 09-Jun -2005" xfId="3207" xr:uid="{00000000-0005-0000-0000-00006E070000}"/>
    <cellStyle name="_Table_Offering Breakdown - 09-Jun -2005 2" xfId="3802" xr:uid="{00000000-0005-0000-0000-00006F070000}"/>
    <cellStyle name="_Table_Options_Converts" xfId="3208" xr:uid="{00000000-0005-0000-0000-000070070000}"/>
    <cellStyle name="_Table_Options_Converts 2" xfId="3803" xr:uid="{00000000-0005-0000-0000-000071070000}"/>
    <cellStyle name="_Table_Project Wincor LBO Model 2a" xfId="3209" xr:uid="{00000000-0005-0000-0000-000072070000}"/>
    <cellStyle name="_Table_Project Wincor LBO Model 2b" xfId="3210" xr:uid="{00000000-0005-0000-0000-000073070000}"/>
    <cellStyle name="_Table_Rollout of 26 - 36 Networks in Finland" xfId="3211" xr:uid="{00000000-0005-0000-0000-000074070000}"/>
    <cellStyle name="_Table_Rollout of 26 - 36 Networks in Finland 2" xfId="3804" xr:uid="{00000000-0005-0000-0000-000075070000}"/>
    <cellStyle name="_Table_SantaLucia Debt Coverage analysis - 12 June 2001" xfId="3212" xr:uid="{00000000-0005-0000-0000-000076070000}"/>
    <cellStyle name="_Table_StockGroupKeyFinancials" xfId="427" xr:uid="{00000000-0005-0000-0000-000077070000}"/>
    <cellStyle name="_Table_StockGroupKeyFinancials 2" xfId="3653" xr:uid="{00000000-0005-0000-0000-000078070000}"/>
    <cellStyle name="_Table_underwrite table" xfId="428" xr:uid="{00000000-0005-0000-0000-000079070000}"/>
    <cellStyle name="_Table_underwrite table 2" xfId="3654" xr:uid="{00000000-0005-0000-0000-00007A070000}"/>
    <cellStyle name="_Table_Unibase Preliminary Valuations" xfId="3213" xr:uid="{00000000-0005-0000-0000-00007B070000}"/>
    <cellStyle name="_Table_Unibase Preliminary Valuations 2" xfId="3805" xr:uid="{00000000-0005-0000-0000-00007C070000}"/>
    <cellStyle name="_Table_Volatility" xfId="3214" xr:uid="{00000000-0005-0000-0000-00007D070000}"/>
    <cellStyle name="_Table_Volatility 2" xfId="3806" xr:uid="{00000000-0005-0000-0000-00007E070000}"/>
    <cellStyle name="_Table_Working Capital Swings" xfId="3215" xr:uid="{00000000-0005-0000-0000-00007F070000}"/>
    <cellStyle name="_Table_Working Capital Swings 2" xfId="3807" xr:uid="{00000000-0005-0000-0000-000080070000}"/>
    <cellStyle name="_TableHead" xfId="429" xr:uid="{00000000-0005-0000-0000-000081070000}"/>
    <cellStyle name="_TableHead_01 Capital Structure" xfId="3216" xr:uid="{00000000-0005-0000-0000-000082070000}"/>
    <cellStyle name="_TableHead_01 Capital Structure_03_ Clean LBO Model" xfId="3217" xr:uid="{00000000-0005-0000-0000-000083070000}"/>
    <cellStyle name="_TableHead_01 Capital Structure_05_ Clean LBO Model" xfId="3218" xr:uid="{00000000-0005-0000-0000-000084070000}"/>
    <cellStyle name="_TableHead_01 Capital Structure_08 Valuation Model incl. new BP" xfId="3219" xr:uid="{00000000-0005-0000-0000-000085070000}"/>
    <cellStyle name="_TableHead_01 Capital Structure_09 Valuation Model incl. new BP" xfId="3220" xr:uid="{00000000-0005-0000-0000-000086070000}"/>
    <cellStyle name="_TableHead_01 Capital Structure_13 Valuation Model incl. new BP" xfId="3221" xr:uid="{00000000-0005-0000-0000-000087070000}"/>
    <cellStyle name="_TableHead_01 Capital Structure_14 Valuation Model incl. new BP" xfId="3222" xr:uid="{00000000-0005-0000-0000-000088070000}"/>
    <cellStyle name="_TableHead_01 Capital Structure_15_ Clean LBO Model" xfId="3223" xr:uid="{00000000-0005-0000-0000-000089070000}"/>
    <cellStyle name="_TableHead_01 Capital Structure_20 Valuation Model incl. new BP" xfId="3224" xr:uid="{00000000-0005-0000-0000-00008A070000}"/>
    <cellStyle name="_TableHead_01 Capital Structure_25 Valuation Model incl. new BP" xfId="3225" xr:uid="{00000000-0005-0000-0000-00008B070000}"/>
    <cellStyle name="_TableHead_01 Capital Structure_33 Valuation Model incl. new BP" xfId="3226" xr:uid="{00000000-0005-0000-0000-00008C070000}"/>
    <cellStyle name="_TableHead_01 Capital Structure_34 Valuation Model incl. new BP" xfId="3227" xr:uid="{00000000-0005-0000-0000-00008D070000}"/>
    <cellStyle name="_TableHead_01 Capital Structure_37 Valuation Model incl. new BP" xfId="3228" xr:uid="{00000000-0005-0000-0000-00008E070000}"/>
    <cellStyle name="_TableHead_01 Capital Structure_38 Valuation Model incl. new BP" xfId="3229" xr:uid="{00000000-0005-0000-0000-00008F070000}"/>
    <cellStyle name="_TableHead_01 Capital Structure_39 Valuation Model incl. new BP" xfId="3230" xr:uid="{00000000-0005-0000-0000-000090070000}"/>
    <cellStyle name="_TableHead_01 Capital Structure_40 Valuation Model incl. new BP" xfId="3231" xr:uid="{00000000-0005-0000-0000-000091070000}"/>
    <cellStyle name="_TableHead_01 Capital Structure_44 Valuation Model incl. new BP" xfId="3232" xr:uid="{00000000-0005-0000-0000-000092070000}"/>
    <cellStyle name="_TableHead_01 Offering Breakdown" xfId="3233" xr:uid="{00000000-0005-0000-0000-000093070000}"/>
    <cellStyle name="_TableHead_02 Enersys Merger Plan" xfId="3234" xr:uid="{00000000-0005-0000-0000-000094070000}"/>
    <cellStyle name="_TableHead_02 Enersys Merger Plan_03_ Clean LBO Model" xfId="3235" xr:uid="{00000000-0005-0000-0000-000095070000}"/>
    <cellStyle name="_TableHead_02 Enersys Merger Plan_05_ Clean LBO Model" xfId="3236" xr:uid="{00000000-0005-0000-0000-000096070000}"/>
    <cellStyle name="_TableHead_02 Enersys Merger Plan_08 Valuation Model incl. new BP" xfId="3237" xr:uid="{00000000-0005-0000-0000-000097070000}"/>
    <cellStyle name="_TableHead_02 Enersys Merger Plan_09 Valuation Model incl. new BP" xfId="3238" xr:uid="{00000000-0005-0000-0000-000098070000}"/>
    <cellStyle name="_TableHead_02 Enersys Merger Plan_13 Valuation Model incl. new BP" xfId="3239" xr:uid="{00000000-0005-0000-0000-000099070000}"/>
    <cellStyle name="_TableHead_02 Enersys Merger Plan_14 Valuation Model incl. new BP" xfId="3240" xr:uid="{00000000-0005-0000-0000-00009A070000}"/>
    <cellStyle name="_TableHead_02 Enersys Merger Plan_15_ Clean LBO Model" xfId="3241" xr:uid="{00000000-0005-0000-0000-00009B070000}"/>
    <cellStyle name="_TableHead_02 Enersys Merger Plan_20 Valuation Model incl. new BP" xfId="3242" xr:uid="{00000000-0005-0000-0000-00009C070000}"/>
    <cellStyle name="_TableHead_02 Enersys Merger Plan_25 Valuation Model incl. new BP" xfId="3243" xr:uid="{00000000-0005-0000-0000-00009D070000}"/>
    <cellStyle name="_TableHead_02 Enersys Merger Plan_33 Valuation Model incl. new BP" xfId="3244" xr:uid="{00000000-0005-0000-0000-00009E070000}"/>
    <cellStyle name="_TableHead_02 Enersys Merger Plan_34 Valuation Model incl. new BP" xfId="3245" xr:uid="{00000000-0005-0000-0000-00009F070000}"/>
    <cellStyle name="_TableHead_02 Enersys Merger Plan_37 Valuation Model incl. new BP" xfId="3246" xr:uid="{00000000-0005-0000-0000-0000A0070000}"/>
    <cellStyle name="_TableHead_02 Enersys Merger Plan_38 Valuation Model incl. new BP" xfId="3247" xr:uid="{00000000-0005-0000-0000-0000A1070000}"/>
    <cellStyle name="_TableHead_02 Enersys Merger Plan_39 Valuation Model incl. new BP" xfId="3248" xr:uid="{00000000-0005-0000-0000-0000A2070000}"/>
    <cellStyle name="_TableHead_02 Enersys Merger Plan_40 Valuation Model incl. new BP" xfId="3249" xr:uid="{00000000-0005-0000-0000-0000A3070000}"/>
    <cellStyle name="_TableHead_02 Enersys Merger Plan_44 Valuation Model incl. new BP" xfId="3250" xr:uid="{00000000-0005-0000-0000-0000A4070000}"/>
    <cellStyle name="_TableHead_02 TDC Merger Plan" xfId="3251" xr:uid="{00000000-0005-0000-0000-0000A5070000}"/>
    <cellStyle name="_TableHead_02 TDC Merger Plan_03_ Clean LBO Model" xfId="3252" xr:uid="{00000000-0005-0000-0000-0000A6070000}"/>
    <cellStyle name="_TableHead_02 TDC Merger Plan_05_ Clean LBO Model" xfId="3253" xr:uid="{00000000-0005-0000-0000-0000A7070000}"/>
    <cellStyle name="_TableHead_02 TDC Merger Plan_08 Valuation Model incl. new BP" xfId="3254" xr:uid="{00000000-0005-0000-0000-0000A8070000}"/>
    <cellStyle name="_TableHead_02 TDC Merger Plan_09 Valuation Model incl. new BP" xfId="3255" xr:uid="{00000000-0005-0000-0000-0000A9070000}"/>
    <cellStyle name="_TableHead_02 TDC Merger Plan_13 Valuation Model incl. new BP" xfId="3256" xr:uid="{00000000-0005-0000-0000-0000AA070000}"/>
    <cellStyle name="_TableHead_02 TDC Merger Plan_14 Valuation Model incl. new BP" xfId="3257" xr:uid="{00000000-0005-0000-0000-0000AB070000}"/>
    <cellStyle name="_TableHead_02 TDC Merger Plan_15_ Clean LBO Model" xfId="3258" xr:uid="{00000000-0005-0000-0000-0000AC070000}"/>
    <cellStyle name="_TableHead_02 TDC Merger Plan_20 Valuation Model incl. new BP" xfId="3259" xr:uid="{00000000-0005-0000-0000-0000AD070000}"/>
    <cellStyle name="_TableHead_02 TDC Merger Plan_25 Valuation Model incl. new BP" xfId="3260" xr:uid="{00000000-0005-0000-0000-0000AE070000}"/>
    <cellStyle name="_TableHead_02 TDC Merger Plan_33 Valuation Model incl. new BP" xfId="3261" xr:uid="{00000000-0005-0000-0000-0000AF070000}"/>
    <cellStyle name="_TableHead_02 TDC Merger Plan_34 Valuation Model incl. new BP" xfId="3262" xr:uid="{00000000-0005-0000-0000-0000B0070000}"/>
    <cellStyle name="_TableHead_02 TDC Merger Plan_37 Valuation Model incl. new BP" xfId="3263" xr:uid="{00000000-0005-0000-0000-0000B1070000}"/>
    <cellStyle name="_TableHead_02 TDC Merger Plan_38 Valuation Model incl. new BP" xfId="3264" xr:uid="{00000000-0005-0000-0000-0000B2070000}"/>
    <cellStyle name="_TableHead_02 TDC Merger Plan_39 Valuation Model incl. new BP" xfId="3265" xr:uid="{00000000-0005-0000-0000-0000B3070000}"/>
    <cellStyle name="_TableHead_02 TDC Merger Plan_40 Valuation Model incl. new BP" xfId="3266" xr:uid="{00000000-0005-0000-0000-0000B4070000}"/>
    <cellStyle name="_TableHead_02 TDC Merger Plan_44 Valuation Model incl. new BP" xfId="3267" xr:uid="{00000000-0005-0000-0000-0000B5070000}"/>
    <cellStyle name="_TableHead_02 WACC Analysis" xfId="430" xr:uid="{00000000-0005-0000-0000-0000B6070000}"/>
    <cellStyle name="_TableHead_03 Total Expenses" xfId="3268" xr:uid="{00000000-0005-0000-0000-0000B7070000}"/>
    <cellStyle name="_TableHead_04 Volatility" xfId="3269" xr:uid="{00000000-0005-0000-0000-0000B8070000}"/>
    <cellStyle name="_TableHead_08 model" xfId="3270" xr:uid="{00000000-0005-0000-0000-0000B9070000}"/>
    <cellStyle name="_TableHead_16 Detail of Key Metrics_mario marco" xfId="2238" xr:uid="{00000000-0005-0000-0000-0000BA070000}"/>
    <cellStyle name="_TableHead_16 Detail of Key Metrics_mario marco_Quasi Rent Illustration" xfId="2239" xr:uid="{00000000-0005-0000-0000-0000BB070000}"/>
    <cellStyle name="_TableHead_16 Detail of Key Metrics_mario marco_YLC" xfId="2240" xr:uid="{00000000-0005-0000-0000-0000BC070000}"/>
    <cellStyle name="_TableHead_19 Valuation of Cegetel" xfId="3271" xr:uid="{00000000-0005-0000-0000-0000BD070000}"/>
    <cellStyle name="_TableHead_19 Valuation of Cegetel_03_ Clean LBO Model" xfId="3272" xr:uid="{00000000-0005-0000-0000-0000BE070000}"/>
    <cellStyle name="_TableHead_19 Valuation of Cegetel_05_ Clean LBO Model" xfId="3273" xr:uid="{00000000-0005-0000-0000-0000BF070000}"/>
    <cellStyle name="_TableHead_19 Valuation of Cegetel_08 Valuation Model incl. new BP" xfId="3274" xr:uid="{00000000-0005-0000-0000-0000C0070000}"/>
    <cellStyle name="_TableHead_19 Valuation of Cegetel_09 Valuation Model incl. new BP" xfId="3275" xr:uid="{00000000-0005-0000-0000-0000C1070000}"/>
    <cellStyle name="_TableHead_19 Valuation of Cegetel_13 Valuation Model incl. new BP" xfId="3276" xr:uid="{00000000-0005-0000-0000-0000C2070000}"/>
    <cellStyle name="_TableHead_19 Valuation of Cegetel_14 Valuation Model incl. new BP" xfId="3277" xr:uid="{00000000-0005-0000-0000-0000C3070000}"/>
    <cellStyle name="_TableHead_19 Valuation of Cegetel_15_ Clean LBO Model" xfId="3278" xr:uid="{00000000-0005-0000-0000-0000C4070000}"/>
    <cellStyle name="_TableHead_19 Valuation of Cegetel_20 Valuation Model incl. new BP" xfId="3279" xr:uid="{00000000-0005-0000-0000-0000C5070000}"/>
    <cellStyle name="_TableHead_19 Valuation of Cegetel_25 Valuation Model incl. new BP" xfId="3280" xr:uid="{00000000-0005-0000-0000-0000C6070000}"/>
    <cellStyle name="_TableHead_19 Valuation of Cegetel_33 Valuation Model incl. new BP" xfId="3281" xr:uid="{00000000-0005-0000-0000-0000C7070000}"/>
    <cellStyle name="_TableHead_19 Valuation of Cegetel_34 Valuation Model incl. new BP" xfId="3282" xr:uid="{00000000-0005-0000-0000-0000C8070000}"/>
    <cellStyle name="_TableHead_19 Valuation of Cegetel_37 Valuation Model incl. new BP" xfId="3283" xr:uid="{00000000-0005-0000-0000-0000C9070000}"/>
    <cellStyle name="_TableHead_19 Valuation of Cegetel_38 Valuation Model incl. new BP" xfId="3284" xr:uid="{00000000-0005-0000-0000-0000CA070000}"/>
    <cellStyle name="_TableHead_19 Valuation of Cegetel_39 Valuation Model incl. new BP" xfId="3285" xr:uid="{00000000-0005-0000-0000-0000CB070000}"/>
    <cellStyle name="_TableHead_19 Valuation of Cegetel_40 Valuation Model incl. new BP" xfId="3286" xr:uid="{00000000-0005-0000-0000-0000CC070000}"/>
    <cellStyle name="_TableHead_19 Valuation of Cegetel_44 Valuation Model incl. new BP" xfId="3287" xr:uid="{00000000-0005-0000-0000-0000CD070000}"/>
    <cellStyle name="_TableHead_20 Operational Model" xfId="3288" xr:uid="{00000000-0005-0000-0000-0000CE070000}"/>
    <cellStyle name="_TableHead_44 Valuation Model incl. new BP" xfId="3289" xr:uid="{00000000-0005-0000-0000-0000CF070000}"/>
    <cellStyle name="_TableHead_Betas" xfId="431" xr:uid="{00000000-0005-0000-0000-0000D0070000}"/>
    <cellStyle name="_TableHead_Cairo LBO model - Sept 06" xfId="432" xr:uid="{00000000-0005-0000-0000-0000D1070000}"/>
    <cellStyle name="_TableHead_Feeder" xfId="433" xr:uid="{00000000-0005-0000-0000-0000D2070000}"/>
    <cellStyle name="_TableHead_M&amp;A Model" xfId="434" xr:uid="{00000000-0005-0000-0000-0000D3070000}"/>
    <cellStyle name="_TableHead_M&amp;A projections" xfId="435" xr:uid="{00000000-0005-0000-0000-0000D4070000}"/>
    <cellStyle name="_TableHead_MTU Diesel LBO Model" xfId="436" xr:uid="{00000000-0005-0000-0000-0000D5070000}"/>
    <cellStyle name="_TableHead_Offering Breakdown - 09-Jun -2005" xfId="3290" xr:uid="{00000000-0005-0000-0000-0000D6070000}"/>
    <cellStyle name="_TableHead_Quasi Rent Illustration" xfId="2241" xr:uid="{00000000-0005-0000-0000-0000D7070000}"/>
    <cellStyle name="_TableHead_RIM Pharma Projections v03" xfId="437" xr:uid="{00000000-0005-0000-0000-0000D8070000}"/>
    <cellStyle name="_TableHead_StockGroupKeyFinancials" xfId="438" xr:uid="{00000000-0005-0000-0000-0000D9070000}"/>
    <cellStyle name="_TableHead_underwrite table" xfId="439" xr:uid="{00000000-0005-0000-0000-0000DA070000}"/>
    <cellStyle name="_TableHead_Volatility" xfId="3291" xr:uid="{00000000-0005-0000-0000-0000DB070000}"/>
    <cellStyle name="_TableHead_YLC" xfId="2242" xr:uid="{00000000-0005-0000-0000-0000DC070000}"/>
    <cellStyle name="_TableHeading" xfId="3292" xr:uid="{00000000-0005-0000-0000-0000DD070000}"/>
    <cellStyle name="_TableRowBorder" xfId="3293" xr:uid="{00000000-0005-0000-0000-0000DE070000}"/>
    <cellStyle name="_TableRowHead" xfId="440" xr:uid="{00000000-0005-0000-0000-0000DF070000}"/>
    <cellStyle name="_TableRowHead_01 Capital Structure" xfId="3294" xr:uid="{00000000-0005-0000-0000-0000E0070000}"/>
    <cellStyle name="_TableRowHead_01 Capital Structure_03_ Clean LBO Model" xfId="3295" xr:uid="{00000000-0005-0000-0000-0000E1070000}"/>
    <cellStyle name="_TableRowHead_01 Capital Structure_05_ Clean LBO Model" xfId="3296" xr:uid="{00000000-0005-0000-0000-0000E2070000}"/>
    <cellStyle name="_TableRowHead_01 Capital Structure_08 Valuation Model incl. new BP" xfId="3297" xr:uid="{00000000-0005-0000-0000-0000E3070000}"/>
    <cellStyle name="_TableRowHead_01 Capital Structure_09 Valuation Model incl. new BP" xfId="3298" xr:uid="{00000000-0005-0000-0000-0000E4070000}"/>
    <cellStyle name="_TableRowHead_01 Capital Structure_13 Valuation Model incl. new BP" xfId="3299" xr:uid="{00000000-0005-0000-0000-0000E5070000}"/>
    <cellStyle name="_TableRowHead_01 Capital Structure_14 Valuation Model incl. new BP" xfId="3300" xr:uid="{00000000-0005-0000-0000-0000E6070000}"/>
    <cellStyle name="_TableRowHead_01 Capital Structure_15_ Clean LBO Model" xfId="3301" xr:uid="{00000000-0005-0000-0000-0000E7070000}"/>
    <cellStyle name="_TableRowHead_01 Capital Structure_20 Valuation Model incl. new BP" xfId="3302" xr:uid="{00000000-0005-0000-0000-0000E8070000}"/>
    <cellStyle name="_TableRowHead_01 Capital Structure_25 Valuation Model incl. new BP" xfId="3303" xr:uid="{00000000-0005-0000-0000-0000E9070000}"/>
    <cellStyle name="_TableRowHead_01 Capital Structure_33 Valuation Model incl. new BP" xfId="3304" xr:uid="{00000000-0005-0000-0000-0000EA070000}"/>
    <cellStyle name="_TableRowHead_01 Capital Structure_34 Valuation Model incl. new BP" xfId="3305" xr:uid="{00000000-0005-0000-0000-0000EB070000}"/>
    <cellStyle name="_TableRowHead_01 Capital Structure_37 Valuation Model incl. new BP" xfId="3306" xr:uid="{00000000-0005-0000-0000-0000EC070000}"/>
    <cellStyle name="_TableRowHead_01 Capital Structure_38 Valuation Model incl. new BP" xfId="3307" xr:uid="{00000000-0005-0000-0000-0000ED070000}"/>
    <cellStyle name="_TableRowHead_01 Capital Structure_39 Valuation Model incl. new BP" xfId="3308" xr:uid="{00000000-0005-0000-0000-0000EE070000}"/>
    <cellStyle name="_TableRowHead_01 Capital Structure_40 Valuation Model incl. new BP" xfId="3309" xr:uid="{00000000-0005-0000-0000-0000EF070000}"/>
    <cellStyle name="_TableRowHead_01 Capital Structure_44 Valuation Model incl. new BP" xfId="3310" xr:uid="{00000000-0005-0000-0000-0000F0070000}"/>
    <cellStyle name="_TableRowHead_01 Offering Breakdown" xfId="3311" xr:uid="{00000000-0005-0000-0000-0000F1070000}"/>
    <cellStyle name="_TableRowHead_02 Enersys Merger Plan" xfId="3312" xr:uid="{00000000-0005-0000-0000-0000F2070000}"/>
    <cellStyle name="_TableRowHead_02 Enersys Merger Plan_03_ Clean LBO Model" xfId="3313" xr:uid="{00000000-0005-0000-0000-0000F3070000}"/>
    <cellStyle name="_TableRowHead_02 Enersys Merger Plan_05_ Clean LBO Model" xfId="3314" xr:uid="{00000000-0005-0000-0000-0000F4070000}"/>
    <cellStyle name="_TableRowHead_02 Enersys Merger Plan_08 Valuation Model incl. new BP" xfId="3315" xr:uid="{00000000-0005-0000-0000-0000F5070000}"/>
    <cellStyle name="_TableRowHead_02 Enersys Merger Plan_09 Valuation Model incl. new BP" xfId="3316" xr:uid="{00000000-0005-0000-0000-0000F6070000}"/>
    <cellStyle name="_TableRowHead_02 Enersys Merger Plan_13 Valuation Model incl. new BP" xfId="3317" xr:uid="{00000000-0005-0000-0000-0000F7070000}"/>
    <cellStyle name="_TableRowHead_02 Enersys Merger Plan_14 Valuation Model incl. new BP" xfId="3318" xr:uid="{00000000-0005-0000-0000-0000F8070000}"/>
    <cellStyle name="_TableRowHead_02 Enersys Merger Plan_15_ Clean LBO Model" xfId="3319" xr:uid="{00000000-0005-0000-0000-0000F9070000}"/>
    <cellStyle name="_TableRowHead_02 Enersys Merger Plan_20 Valuation Model incl. new BP" xfId="3320" xr:uid="{00000000-0005-0000-0000-0000FA070000}"/>
    <cellStyle name="_TableRowHead_02 Enersys Merger Plan_25 Valuation Model incl. new BP" xfId="3321" xr:uid="{00000000-0005-0000-0000-0000FB070000}"/>
    <cellStyle name="_TableRowHead_02 Enersys Merger Plan_33 Valuation Model incl. new BP" xfId="3322" xr:uid="{00000000-0005-0000-0000-0000FC070000}"/>
    <cellStyle name="_TableRowHead_02 Enersys Merger Plan_34 Valuation Model incl. new BP" xfId="3323" xr:uid="{00000000-0005-0000-0000-0000FD070000}"/>
    <cellStyle name="_TableRowHead_02 Enersys Merger Plan_37 Valuation Model incl. new BP" xfId="3324" xr:uid="{00000000-0005-0000-0000-0000FE070000}"/>
    <cellStyle name="_TableRowHead_02 Enersys Merger Plan_38 Valuation Model incl. new BP" xfId="3325" xr:uid="{00000000-0005-0000-0000-0000FF070000}"/>
    <cellStyle name="_TableRowHead_02 Enersys Merger Plan_39 Valuation Model incl. new BP" xfId="3326" xr:uid="{00000000-0005-0000-0000-000000080000}"/>
    <cellStyle name="_TableRowHead_02 Enersys Merger Plan_40 Valuation Model incl. new BP" xfId="3327" xr:uid="{00000000-0005-0000-0000-000001080000}"/>
    <cellStyle name="_TableRowHead_02 Enersys Merger Plan_44 Valuation Model incl. new BP" xfId="3328" xr:uid="{00000000-0005-0000-0000-000002080000}"/>
    <cellStyle name="_TableRowHead_02 TDC Merger Plan" xfId="3329" xr:uid="{00000000-0005-0000-0000-000003080000}"/>
    <cellStyle name="_TableRowHead_02 TDC Merger Plan_03_ Clean LBO Model" xfId="3330" xr:uid="{00000000-0005-0000-0000-000004080000}"/>
    <cellStyle name="_TableRowHead_02 TDC Merger Plan_05_ Clean LBO Model" xfId="3331" xr:uid="{00000000-0005-0000-0000-000005080000}"/>
    <cellStyle name="_TableRowHead_02 TDC Merger Plan_08 Valuation Model incl. new BP" xfId="3332" xr:uid="{00000000-0005-0000-0000-000006080000}"/>
    <cellStyle name="_TableRowHead_02 TDC Merger Plan_09 Valuation Model incl. new BP" xfId="3333" xr:uid="{00000000-0005-0000-0000-000007080000}"/>
    <cellStyle name="_TableRowHead_02 TDC Merger Plan_13 Valuation Model incl. new BP" xfId="3334" xr:uid="{00000000-0005-0000-0000-000008080000}"/>
    <cellStyle name="_TableRowHead_02 TDC Merger Plan_14 Valuation Model incl. new BP" xfId="3335" xr:uid="{00000000-0005-0000-0000-000009080000}"/>
    <cellStyle name="_TableRowHead_02 TDC Merger Plan_15_ Clean LBO Model" xfId="3336" xr:uid="{00000000-0005-0000-0000-00000A080000}"/>
    <cellStyle name="_TableRowHead_02 TDC Merger Plan_20 Valuation Model incl. new BP" xfId="3337" xr:uid="{00000000-0005-0000-0000-00000B080000}"/>
    <cellStyle name="_TableRowHead_02 TDC Merger Plan_25 Valuation Model incl. new BP" xfId="3338" xr:uid="{00000000-0005-0000-0000-00000C080000}"/>
    <cellStyle name="_TableRowHead_02 TDC Merger Plan_33 Valuation Model incl. new BP" xfId="3339" xr:uid="{00000000-0005-0000-0000-00000D080000}"/>
    <cellStyle name="_TableRowHead_02 TDC Merger Plan_34 Valuation Model incl. new BP" xfId="3340" xr:uid="{00000000-0005-0000-0000-00000E080000}"/>
    <cellStyle name="_TableRowHead_02 TDC Merger Plan_37 Valuation Model incl. new BP" xfId="3341" xr:uid="{00000000-0005-0000-0000-00000F080000}"/>
    <cellStyle name="_TableRowHead_02 TDC Merger Plan_38 Valuation Model incl. new BP" xfId="3342" xr:uid="{00000000-0005-0000-0000-000010080000}"/>
    <cellStyle name="_TableRowHead_02 TDC Merger Plan_39 Valuation Model incl. new BP" xfId="3343" xr:uid="{00000000-0005-0000-0000-000011080000}"/>
    <cellStyle name="_TableRowHead_02 TDC Merger Plan_40 Valuation Model incl. new BP" xfId="3344" xr:uid="{00000000-0005-0000-0000-000012080000}"/>
    <cellStyle name="_TableRowHead_02 TDC Merger Plan_44 Valuation Model incl. new BP" xfId="3345" xr:uid="{00000000-0005-0000-0000-000013080000}"/>
    <cellStyle name="_TableRowHead_02 WACC Analysis" xfId="441" xr:uid="{00000000-0005-0000-0000-000014080000}"/>
    <cellStyle name="_TableRowHead_03 Total Expenses" xfId="3346" xr:uid="{00000000-0005-0000-0000-000015080000}"/>
    <cellStyle name="_TableRowHead_04 Volatility" xfId="3347" xr:uid="{00000000-0005-0000-0000-000016080000}"/>
    <cellStyle name="_TableRowHead_08 model" xfId="3348" xr:uid="{00000000-0005-0000-0000-000017080000}"/>
    <cellStyle name="_TableRowHead_19 Valuation of Cegetel" xfId="3349" xr:uid="{00000000-0005-0000-0000-000018080000}"/>
    <cellStyle name="_TableRowHead_19 Valuation of Cegetel_03_ Clean LBO Model" xfId="3350" xr:uid="{00000000-0005-0000-0000-000019080000}"/>
    <cellStyle name="_TableRowHead_19 Valuation of Cegetel_05_ Clean LBO Model" xfId="3351" xr:uid="{00000000-0005-0000-0000-00001A080000}"/>
    <cellStyle name="_TableRowHead_19 Valuation of Cegetel_08 Valuation Model incl. new BP" xfId="3352" xr:uid="{00000000-0005-0000-0000-00001B080000}"/>
    <cellStyle name="_TableRowHead_19 Valuation of Cegetel_09 Valuation Model incl. new BP" xfId="3353" xr:uid="{00000000-0005-0000-0000-00001C080000}"/>
    <cellStyle name="_TableRowHead_19 Valuation of Cegetel_13 Valuation Model incl. new BP" xfId="3354" xr:uid="{00000000-0005-0000-0000-00001D080000}"/>
    <cellStyle name="_TableRowHead_19 Valuation of Cegetel_14 Valuation Model incl. new BP" xfId="3355" xr:uid="{00000000-0005-0000-0000-00001E080000}"/>
    <cellStyle name="_TableRowHead_19 Valuation of Cegetel_15_ Clean LBO Model" xfId="3356" xr:uid="{00000000-0005-0000-0000-00001F080000}"/>
    <cellStyle name="_TableRowHead_19 Valuation of Cegetel_20 Valuation Model incl. new BP" xfId="3357" xr:uid="{00000000-0005-0000-0000-000020080000}"/>
    <cellStyle name="_TableRowHead_19 Valuation of Cegetel_25 Valuation Model incl. new BP" xfId="3358" xr:uid="{00000000-0005-0000-0000-000021080000}"/>
    <cellStyle name="_TableRowHead_19 Valuation of Cegetel_33 Valuation Model incl. new BP" xfId="3359" xr:uid="{00000000-0005-0000-0000-000022080000}"/>
    <cellStyle name="_TableRowHead_19 Valuation of Cegetel_34 Valuation Model incl. new BP" xfId="3360" xr:uid="{00000000-0005-0000-0000-000023080000}"/>
    <cellStyle name="_TableRowHead_19 Valuation of Cegetel_37 Valuation Model incl. new BP" xfId="3361" xr:uid="{00000000-0005-0000-0000-000024080000}"/>
    <cellStyle name="_TableRowHead_19 Valuation of Cegetel_38 Valuation Model incl. new BP" xfId="3362" xr:uid="{00000000-0005-0000-0000-000025080000}"/>
    <cellStyle name="_TableRowHead_19 Valuation of Cegetel_39 Valuation Model incl. new BP" xfId="3363" xr:uid="{00000000-0005-0000-0000-000026080000}"/>
    <cellStyle name="_TableRowHead_19 Valuation of Cegetel_40 Valuation Model incl. new BP" xfId="3364" xr:uid="{00000000-0005-0000-0000-000027080000}"/>
    <cellStyle name="_TableRowHead_19 Valuation of Cegetel_44 Valuation Model incl. new BP" xfId="3365" xr:uid="{00000000-0005-0000-0000-000028080000}"/>
    <cellStyle name="_TableRowHead_20 Operational Model" xfId="3366" xr:uid="{00000000-0005-0000-0000-000029080000}"/>
    <cellStyle name="_TableRowHead_44 Valuation Model incl. new BP" xfId="3367" xr:uid="{00000000-0005-0000-0000-00002A080000}"/>
    <cellStyle name="_TableRowHead_Betas" xfId="442" xr:uid="{00000000-0005-0000-0000-00002B080000}"/>
    <cellStyle name="_TableRowHead_Cairo LBO model - Sept 06" xfId="443" xr:uid="{00000000-0005-0000-0000-00002C080000}"/>
    <cellStyle name="_TableRowHead_Offering Breakdown - 09-Jun -2005" xfId="3368" xr:uid="{00000000-0005-0000-0000-00002D080000}"/>
    <cellStyle name="_TableRowHead_StockGroupKeyFinancials" xfId="444" xr:uid="{00000000-0005-0000-0000-00002E080000}"/>
    <cellStyle name="_TableRowHead_Telenet Client Financing Model 20030924" xfId="3369" xr:uid="{00000000-0005-0000-0000-00002F080000}"/>
    <cellStyle name="_TableRowHead_Volatility" xfId="3370" xr:uid="{00000000-0005-0000-0000-000030080000}"/>
    <cellStyle name="_TableRowHeading" xfId="3371" xr:uid="{00000000-0005-0000-0000-000031080000}"/>
    <cellStyle name="_TableSuperHead" xfId="445" xr:uid="{00000000-0005-0000-0000-000032080000}"/>
    <cellStyle name="_TableSuperHead_02 WACC Analysis" xfId="446" xr:uid="{00000000-0005-0000-0000-000033080000}"/>
    <cellStyle name="_TableSuperHead_03 Total Expenses" xfId="3372" xr:uid="{00000000-0005-0000-0000-000034080000}"/>
    <cellStyle name="_TableSuperHead_04 Volatility" xfId="3373" xr:uid="{00000000-0005-0000-0000-000035080000}"/>
    <cellStyle name="_TableSuperHead_44 Valuation Model incl. new BP" xfId="3374" xr:uid="{00000000-0005-0000-0000-000036080000}"/>
    <cellStyle name="_TableSuperHead_Betas" xfId="447" xr:uid="{00000000-0005-0000-0000-000037080000}"/>
    <cellStyle name="_TableSuperHead_Cairo LBO model - Sept 06" xfId="448" xr:uid="{00000000-0005-0000-0000-000038080000}"/>
    <cellStyle name="_TableSuperHead_Offering Breakdown - 09-Jun -2005" xfId="3375" xr:uid="{00000000-0005-0000-0000-000039080000}"/>
    <cellStyle name="_TableSuperHead_StockGroupKeyFinancials" xfId="449" xr:uid="{00000000-0005-0000-0000-00003A080000}"/>
    <cellStyle name="_TableSuperHead_Volatility" xfId="3376" xr:uid="{00000000-0005-0000-0000-00003B080000}"/>
    <cellStyle name="_TableText" xfId="3377" xr:uid="{00000000-0005-0000-0000-00003C080000}"/>
    <cellStyle name="_UBSIB_GSF_Model_Feb_2006v3" xfId="2243" xr:uid="{00000000-0005-0000-0000-00003D080000}"/>
    <cellStyle name="_underwrite table" xfId="450" xr:uid="{00000000-0005-0000-0000-00003E080000}"/>
    <cellStyle name="_Version 10" xfId="2244" xr:uid="{00000000-0005-0000-0000-00003F080000}"/>
    <cellStyle name="_Version 9" xfId="2245" xr:uid="{00000000-0005-0000-0000-000040080000}"/>
    <cellStyle name="_VNU Operating Model V4" xfId="451" xr:uid="{00000000-0005-0000-0000-000041080000}"/>
    <cellStyle name="_WACC Attack (Fairness Approved)" xfId="3632" xr:uid="{00000000-0005-0000-0000-000042080000}"/>
    <cellStyle name="-" xfId="9" xr:uid="{00000000-0005-0000-0000-000001000000}"/>
    <cellStyle name="—_EM-HTI" xfId="2353" xr:uid="{00000000-0005-0000-0000-0000F5010000}"/>
    <cellStyle name="—_EM-HTI_CSC May 20" xfId="2354" xr:uid="{00000000-0005-0000-0000-0000F6010000}"/>
    <cellStyle name="—_EM-KT" xfId="2355" xr:uid="{00000000-0005-0000-0000-0000F7010000}"/>
    <cellStyle name="—_EM-KT_03 CSC May 20" xfId="2356" xr:uid="{00000000-0005-0000-0000-0000F8010000}"/>
    <cellStyle name="—_EM-KT_CSC May 20" xfId="2357" xr:uid="{00000000-0005-0000-0000-0000F9010000}"/>
    <cellStyle name="—_EM-KT_Global Wireless1" xfId="2358" xr:uid="{00000000-0005-0000-0000-0000FA010000}"/>
    <cellStyle name="—_EM-SKTelecom_old" xfId="2359" xr:uid="{00000000-0005-0000-0000-0000FB010000}"/>
    <cellStyle name="—_EM-SKTelecom_old_03 CSC May 20" xfId="2360" xr:uid="{00000000-0005-0000-0000-0000FC010000}"/>
    <cellStyle name="—_EM-SKTelecom_old_CSC May 20" xfId="2361" xr:uid="{00000000-0005-0000-0000-0000FD010000}"/>
    <cellStyle name="—_EM-SKTelecom_old_EM-HTI" xfId="2362" xr:uid="{00000000-0005-0000-0000-0000FE010000}"/>
    <cellStyle name="—_EM-SKTelecom_old_EM-HTI_CSC May 20" xfId="2363" xr:uid="{00000000-0005-0000-0000-0000FF010000}"/>
    <cellStyle name="—_EM-SKTelecom_old_Global Wireless1" xfId="2364" xr:uid="{00000000-0005-0000-0000-000000020000}"/>
    <cellStyle name="—_Global Wireless1" xfId="2371" xr:uid="{00000000-0005-0000-0000-00004F020000}"/>
    <cellStyle name="—_Global Wireless1_03 CSC May 20" xfId="2372" xr:uid="{00000000-0005-0000-0000-000050020000}"/>
    <cellStyle name="—_Global Wireless1_03 CSC May 20_03_ Clean LBO Model" xfId="2373" xr:uid="{00000000-0005-0000-0000-000051020000}"/>
    <cellStyle name="—_Global Wireless1_03 CSC May 20_05_ Clean LBO Model" xfId="2374" xr:uid="{00000000-0005-0000-0000-000052020000}"/>
    <cellStyle name="—_Global Wireless1_03 CSC May 20_08 Valuation Model incl. new BP" xfId="2375" xr:uid="{00000000-0005-0000-0000-000053020000}"/>
    <cellStyle name="—_Global Wireless1_03 CSC May 20_09 Valuation Model incl. new BP" xfId="2376" xr:uid="{00000000-0005-0000-0000-000054020000}"/>
    <cellStyle name="—_Global Wireless1_03 CSC May 20_13 Valuation Model incl. new BP" xfId="2377" xr:uid="{00000000-0005-0000-0000-000055020000}"/>
    <cellStyle name="—_Global Wireless1_03 CSC May 20_14 Valuation Model incl. new BP" xfId="2378" xr:uid="{00000000-0005-0000-0000-000056020000}"/>
    <cellStyle name="—_Global Wireless1_03 CSC May 20_15_ Clean LBO Model" xfId="2379" xr:uid="{00000000-0005-0000-0000-000057020000}"/>
    <cellStyle name="—_Global Wireless1_03 CSC May 20_20 Valuation Model incl. new BP" xfId="2380" xr:uid="{00000000-0005-0000-0000-000058020000}"/>
    <cellStyle name="—_Global Wireless1_03 CSC May 20_25 Valuation Model incl. new BP" xfId="2381" xr:uid="{00000000-0005-0000-0000-000059020000}"/>
    <cellStyle name="—_Global Wireless1_03 CSC May 20_33 Valuation Model incl. new BP" xfId="2382" xr:uid="{00000000-0005-0000-0000-00005A020000}"/>
    <cellStyle name="—_Global Wireless1_03 CSC May 20_34 Valuation Model incl. new BP" xfId="2383" xr:uid="{00000000-0005-0000-0000-00005B020000}"/>
    <cellStyle name="—_Global Wireless1_03 CSC May 20_37 Valuation Model incl. new BP" xfId="2384" xr:uid="{00000000-0005-0000-0000-00005C020000}"/>
    <cellStyle name="—_Global Wireless1_03 CSC May 20_38 Valuation Model incl. new BP" xfId="2385" xr:uid="{00000000-0005-0000-0000-00005D020000}"/>
    <cellStyle name="—_Global Wireless1_03 CSC May 20_39 Valuation Model incl. new BP" xfId="2386" xr:uid="{00000000-0005-0000-0000-00005E020000}"/>
    <cellStyle name="—_Global Wireless1_03 CSC May 20_40 Valuation Model incl. new BP" xfId="2387" xr:uid="{00000000-0005-0000-0000-00005F020000}"/>
    <cellStyle name="—_Global Wireless1_03 CSC May 20_44 Valuation Model incl. new BP" xfId="2388" xr:uid="{00000000-0005-0000-0000-000060020000}"/>
    <cellStyle name="—_Global Wireless1_03_ Clean LBO Model" xfId="2389" xr:uid="{00000000-0005-0000-0000-000061020000}"/>
    <cellStyle name="—_Global Wireless1_05_ Clean LBO Model" xfId="2390" xr:uid="{00000000-0005-0000-0000-000062020000}"/>
    <cellStyle name="—_Global Wireless1_08 Valuation Model incl. new BP" xfId="2391" xr:uid="{00000000-0005-0000-0000-000063020000}"/>
    <cellStyle name="—_Global Wireless1_09 Valuation Model incl. new BP" xfId="2392" xr:uid="{00000000-0005-0000-0000-000064020000}"/>
    <cellStyle name="—_Global Wireless1_13 Valuation Model incl. new BP" xfId="2393" xr:uid="{00000000-0005-0000-0000-000065020000}"/>
    <cellStyle name="—_Global Wireless1_14 Valuation Model incl. new BP" xfId="2394" xr:uid="{00000000-0005-0000-0000-000066020000}"/>
    <cellStyle name="—_Global Wireless1_15_ Clean LBO Model" xfId="2395" xr:uid="{00000000-0005-0000-0000-000067020000}"/>
    <cellStyle name="—_Global Wireless1_20 Valuation Model incl. new BP" xfId="2396" xr:uid="{00000000-0005-0000-0000-000068020000}"/>
    <cellStyle name="—_Global Wireless1_25 Valuation Model incl. new BP" xfId="2397" xr:uid="{00000000-0005-0000-0000-000069020000}"/>
    <cellStyle name="—_Global Wireless1_33 Valuation Model incl. new BP" xfId="2398" xr:uid="{00000000-0005-0000-0000-00006A020000}"/>
    <cellStyle name="—_Global Wireless1_34 Valuation Model incl. new BP" xfId="2399" xr:uid="{00000000-0005-0000-0000-00006B020000}"/>
    <cellStyle name="—_Global Wireless1_37 Valuation Model incl. new BP" xfId="2400" xr:uid="{00000000-0005-0000-0000-00006C020000}"/>
    <cellStyle name="—_Global Wireless1_38 Valuation Model incl. new BP" xfId="2401" xr:uid="{00000000-0005-0000-0000-00006D020000}"/>
    <cellStyle name="—_Global Wireless1_39 Valuation Model incl. new BP" xfId="2402" xr:uid="{00000000-0005-0000-0000-00006E020000}"/>
    <cellStyle name="—_Global Wireless1_40 Valuation Model incl. new BP" xfId="2403" xr:uid="{00000000-0005-0000-0000-00006F020000}"/>
    <cellStyle name="—_Global Wireless1_44 Valuation Model incl. new BP" xfId="2404" xr:uid="{00000000-0005-0000-0000-000070020000}"/>
    <cellStyle name="—_Global Wireless1_CSC May 20" xfId="2405" xr:uid="{00000000-0005-0000-0000-000071020000}"/>
    <cellStyle name="—_Global Wireless1_CSC May 20_03_ Clean LBO Model" xfId="2406" xr:uid="{00000000-0005-0000-0000-000072020000}"/>
    <cellStyle name="—_Global Wireless1_CSC May 20_05_ Clean LBO Model" xfId="2407" xr:uid="{00000000-0005-0000-0000-000073020000}"/>
    <cellStyle name="—_Global Wireless1_CSC May 20_08 Valuation Model incl. new BP" xfId="2408" xr:uid="{00000000-0005-0000-0000-000074020000}"/>
    <cellStyle name="—_Global Wireless1_CSC May 20_09 Valuation Model incl. new BP" xfId="2409" xr:uid="{00000000-0005-0000-0000-000075020000}"/>
    <cellStyle name="—_Global Wireless1_CSC May 20_13 Valuation Model incl. new BP" xfId="2410" xr:uid="{00000000-0005-0000-0000-000076020000}"/>
    <cellStyle name="—_Global Wireless1_CSC May 20_14 Valuation Model incl. new BP" xfId="2411" xr:uid="{00000000-0005-0000-0000-000077020000}"/>
    <cellStyle name="—_Global Wireless1_CSC May 20_15_ Clean LBO Model" xfId="2412" xr:uid="{00000000-0005-0000-0000-000078020000}"/>
    <cellStyle name="—_Global Wireless1_CSC May 20_20 Valuation Model incl. new BP" xfId="2413" xr:uid="{00000000-0005-0000-0000-000079020000}"/>
    <cellStyle name="—_Global Wireless1_CSC May 20_25 Valuation Model incl. new BP" xfId="2414" xr:uid="{00000000-0005-0000-0000-00007A020000}"/>
    <cellStyle name="—_Global Wireless1_CSC May 20_33 Valuation Model incl. new BP" xfId="2415" xr:uid="{00000000-0005-0000-0000-00007B020000}"/>
    <cellStyle name="—_Global Wireless1_CSC May 20_34 Valuation Model incl. new BP" xfId="2416" xr:uid="{00000000-0005-0000-0000-00007C020000}"/>
    <cellStyle name="—_Global Wireless1_CSC May 20_37 Valuation Model incl. new BP" xfId="2417" xr:uid="{00000000-0005-0000-0000-00007D020000}"/>
    <cellStyle name="—_Global Wireless1_CSC May 20_38 Valuation Model incl. new BP" xfId="2418" xr:uid="{00000000-0005-0000-0000-00007E020000}"/>
    <cellStyle name="—_Global Wireless1_CSC May 20_39 Valuation Model incl. new BP" xfId="2419" xr:uid="{00000000-0005-0000-0000-00007F020000}"/>
    <cellStyle name="—_Global Wireless1_CSC May 20_40 Valuation Model incl. new BP" xfId="2420" xr:uid="{00000000-0005-0000-0000-000080020000}"/>
    <cellStyle name="—_Global Wireless1_CSC May 20_44 Valuation Model incl. new BP" xfId="2421" xr:uid="{00000000-0005-0000-0000-000081020000}"/>
    <cellStyle name="—_GS Assumptions-F" xfId="2422" xr:uid="{00000000-0005-0000-0000-000082020000}"/>
    <cellStyle name="—_GS Assumptions-F_03_ Clean LBO Model" xfId="2423" xr:uid="{00000000-0005-0000-0000-000083020000}"/>
    <cellStyle name="—_GS Assumptions-F_05_ Clean LBO Model" xfId="2424" xr:uid="{00000000-0005-0000-0000-000084020000}"/>
    <cellStyle name="—_GS Assumptions-F_08 Valuation Model incl. new BP" xfId="2425" xr:uid="{00000000-0005-0000-0000-000085020000}"/>
    <cellStyle name="—_GS Assumptions-F_09 Valuation Model incl. new BP" xfId="2426" xr:uid="{00000000-0005-0000-0000-000086020000}"/>
    <cellStyle name="—_GS Assumptions-F_13 Valuation Model incl. new BP" xfId="2427" xr:uid="{00000000-0005-0000-0000-000087020000}"/>
    <cellStyle name="—_GS Assumptions-F_14 Valuation Model incl. new BP" xfId="2428" xr:uid="{00000000-0005-0000-0000-000088020000}"/>
    <cellStyle name="—_GS Assumptions-F_15_ Clean LBO Model" xfId="2429" xr:uid="{00000000-0005-0000-0000-000089020000}"/>
    <cellStyle name="—_GS Assumptions-F_20 Valuation Model incl. new BP" xfId="2430" xr:uid="{00000000-0005-0000-0000-00008A020000}"/>
    <cellStyle name="—_GS Assumptions-F_25 Valuation Model incl. new BP" xfId="2431" xr:uid="{00000000-0005-0000-0000-00008B020000}"/>
    <cellStyle name="—_GS Assumptions-F_33 Valuation Model incl. new BP" xfId="2432" xr:uid="{00000000-0005-0000-0000-00008C020000}"/>
    <cellStyle name="—_GS Assumptions-F_34 Valuation Model incl. new BP" xfId="2433" xr:uid="{00000000-0005-0000-0000-00008D020000}"/>
    <cellStyle name="—_GS Assumptions-F_37 Valuation Model incl. new BP" xfId="2434" xr:uid="{00000000-0005-0000-0000-00008E020000}"/>
    <cellStyle name="—_GS Assumptions-F_38 Valuation Model incl. new BP" xfId="2435" xr:uid="{00000000-0005-0000-0000-00008F020000}"/>
    <cellStyle name="—_GS Assumptions-F_39 Valuation Model incl. new BP" xfId="2436" xr:uid="{00000000-0005-0000-0000-000090020000}"/>
    <cellStyle name="—_GS Assumptions-F_40 Valuation Model incl. new BP" xfId="2437" xr:uid="{00000000-0005-0000-0000-000091020000}"/>
    <cellStyle name="—_GS Assumptions-F_44 Valuation Model incl. new BP" xfId="2438" xr:uid="{00000000-0005-0000-0000-000092020000}"/>
    <cellStyle name="—_GS Assumptions-F_Global Wireless1" xfId="2439" xr:uid="{00000000-0005-0000-0000-000093020000}"/>
    <cellStyle name="—_GS Assumptions-F_Global Wireless1_03 CSC May 20" xfId="2440" xr:uid="{00000000-0005-0000-0000-000094020000}"/>
    <cellStyle name="—_GS Assumptions-F_Global Wireless1_03 CSC May 20_03_ Clean LBO Model" xfId="2441" xr:uid="{00000000-0005-0000-0000-000095020000}"/>
    <cellStyle name="—_GS Assumptions-F_Global Wireless1_03 CSC May 20_05_ Clean LBO Model" xfId="2442" xr:uid="{00000000-0005-0000-0000-000096020000}"/>
    <cellStyle name="—_GS Assumptions-F_Global Wireless1_03 CSC May 20_08 Valuation Model incl. new BP" xfId="2443" xr:uid="{00000000-0005-0000-0000-000097020000}"/>
    <cellStyle name="—_GS Assumptions-F_Global Wireless1_03 CSC May 20_09 Valuation Model incl. new BP" xfId="2444" xr:uid="{00000000-0005-0000-0000-000098020000}"/>
    <cellStyle name="—_GS Assumptions-F_Global Wireless1_03 CSC May 20_13 Valuation Model incl. new BP" xfId="2445" xr:uid="{00000000-0005-0000-0000-000099020000}"/>
    <cellStyle name="—_GS Assumptions-F_Global Wireless1_03 CSC May 20_14 Valuation Model incl. new BP" xfId="2446" xr:uid="{00000000-0005-0000-0000-00009A020000}"/>
    <cellStyle name="—_GS Assumptions-F_Global Wireless1_03 CSC May 20_15_ Clean LBO Model" xfId="2447" xr:uid="{00000000-0005-0000-0000-00009B020000}"/>
    <cellStyle name="—_GS Assumptions-F_Global Wireless1_03 CSC May 20_20 Valuation Model incl. new BP" xfId="2448" xr:uid="{00000000-0005-0000-0000-00009C020000}"/>
    <cellStyle name="—_GS Assumptions-F_Global Wireless1_03 CSC May 20_25 Valuation Model incl. new BP" xfId="2449" xr:uid="{00000000-0005-0000-0000-00009D020000}"/>
    <cellStyle name="—_GS Assumptions-F_Global Wireless1_03 CSC May 20_33 Valuation Model incl. new BP" xfId="2450" xr:uid="{00000000-0005-0000-0000-00009E020000}"/>
    <cellStyle name="—_GS Assumptions-F_Global Wireless1_03 CSC May 20_34 Valuation Model incl. new BP" xfId="2451" xr:uid="{00000000-0005-0000-0000-00009F020000}"/>
    <cellStyle name="—_GS Assumptions-F_Global Wireless1_03 CSC May 20_37 Valuation Model incl. new BP" xfId="2452" xr:uid="{00000000-0005-0000-0000-0000A0020000}"/>
    <cellStyle name="—_GS Assumptions-F_Global Wireless1_03 CSC May 20_38 Valuation Model incl. new BP" xfId="2453" xr:uid="{00000000-0005-0000-0000-0000A1020000}"/>
    <cellStyle name="—_GS Assumptions-F_Global Wireless1_03 CSC May 20_39 Valuation Model incl. new BP" xfId="2454" xr:uid="{00000000-0005-0000-0000-0000A2020000}"/>
    <cellStyle name="—_GS Assumptions-F_Global Wireless1_03 CSC May 20_40 Valuation Model incl. new BP" xfId="2455" xr:uid="{00000000-0005-0000-0000-0000A3020000}"/>
    <cellStyle name="—_GS Assumptions-F_Global Wireless1_03 CSC May 20_44 Valuation Model incl. new BP" xfId="2456" xr:uid="{00000000-0005-0000-0000-0000A4020000}"/>
    <cellStyle name="—_GS Assumptions-F_Global Wireless1_03_ Clean LBO Model" xfId="2457" xr:uid="{00000000-0005-0000-0000-0000A5020000}"/>
    <cellStyle name="—_GS Assumptions-F_Global Wireless1_05_ Clean LBO Model" xfId="2458" xr:uid="{00000000-0005-0000-0000-0000A6020000}"/>
    <cellStyle name="—_GS Assumptions-F_Global Wireless1_08 Valuation Model incl. new BP" xfId="2459" xr:uid="{00000000-0005-0000-0000-0000A7020000}"/>
    <cellStyle name="—_GS Assumptions-F_Global Wireless1_09 Valuation Model incl. new BP" xfId="2460" xr:uid="{00000000-0005-0000-0000-0000A8020000}"/>
    <cellStyle name="—_GS Assumptions-F_Global Wireless1_13 Valuation Model incl. new BP" xfId="2461" xr:uid="{00000000-0005-0000-0000-0000A9020000}"/>
    <cellStyle name="—_GS Assumptions-F_Global Wireless1_14 Valuation Model incl. new BP" xfId="2462" xr:uid="{00000000-0005-0000-0000-0000AA020000}"/>
    <cellStyle name="—_GS Assumptions-F_Global Wireless1_15_ Clean LBO Model" xfId="2463" xr:uid="{00000000-0005-0000-0000-0000AB020000}"/>
    <cellStyle name="—_GS Assumptions-F_Global Wireless1_20 Valuation Model incl. new BP" xfId="2464" xr:uid="{00000000-0005-0000-0000-0000AC020000}"/>
    <cellStyle name="—_GS Assumptions-F_Global Wireless1_25 Valuation Model incl. new BP" xfId="2465" xr:uid="{00000000-0005-0000-0000-0000AD020000}"/>
    <cellStyle name="—_GS Assumptions-F_Global Wireless1_33 Valuation Model incl. new BP" xfId="2466" xr:uid="{00000000-0005-0000-0000-0000AE020000}"/>
    <cellStyle name="—_GS Assumptions-F_Global Wireless1_34 Valuation Model incl. new BP" xfId="2467" xr:uid="{00000000-0005-0000-0000-0000AF020000}"/>
    <cellStyle name="—_GS Assumptions-F_Global Wireless1_37 Valuation Model incl. new BP" xfId="2468" xr:uid="{00000000-0005-0000-0000-0000B0020000}"/>
    <cellStyle name="—_GS Assumptions-F_Global Wireless1_38 Valuation Model incl. new BP" xfId="2469" xr:uid="{00000000-0005-0000-0000-0000B1020000}"/>
    <cellStyle name="—_GS Assumptions-F_Global Wireless1_39 Valuation Model incl. new BP" xfId="2470" xr:uid="{00000000-0005-0000-0000-0000B2020000}"/>
    <cellStyle name="—_GS Assumptions-F_Global Wireless1_40 Valuation Model incl. new BP" xfId="2471" xr:uid="{00000000-0005-0000-0000-0000B3020000}"/>
    <cellStyle name="—_GS Assumptions-F_Global Wireless1_44 Valuation Model incl. new BP" xfId="2472" xr:uid="{00000000-0005-0000-0000-0000B4020000}"/>
    <cellStyle name="—_GS Assumptions-F_Global Wireless1_CSC May 20" xfId="2473" xr:uid="{00000000-0005-0000-0000-0000B5020000}"/>
    <cellStyle name="—_GS Assumptions-F_Global Wireless1_CSC May 20_03_ Clean LBO Model" xfId="2474" xr:uid="{00000000-0005-0000-0000-0000B6020000}"/>
    <cellStyle name="—_GS Assumptions-F_Global Wireless1_CSC May 20_05_ Clean LBO Model" xfId="2475" xr:uid="{00000000-0005-0000-0000-0000B7020000}"/>
    <cellStyle name="—_GS Assumptions-F_Global Wireless1_CSC May 20_08 Valuation Model incl. new BP" xfId="2476" xr:uid="{00000000-0005-0000-0000-0000B8020000}"/>
    <cellStyle name="—_GS Assumptions-F_Global Wireless1_CSC May 20_09 Valuation Model incl. new BP" xfId="2477" xr:uid="{00000000-0005-0000-0000-0000B9020000}"/>
    <cellStyle name="—_GS Assumptions-F_Global Wireless1_CSC May 20_13 Valuation Model incl. new BP" xfId="2478" xr:uid="{00000000-0005-0000-0000-0000BA020000}"/>
    <cellStyle name="—_GS Assumptions-F_Global Wireless1_CSC May 20_14 Valuation Model incl. new BP" xfId="2479" xr:uid="{00000000-0005-0000-0000-0000BB020000}"/>
    <cellStyle name="—_GS Assumptions-F_Global Wireless1_CSC May 20_15_ Clean LBO Model" xfId="2480" xr:uid="{00000000-0005-0000-0000-0000BC020000}"/>
    <cellStyle name="—_GS Assumptions-F_Global Wireless1_CSC May 20_20 Valuation Model incl. new BP" xfId="2481" xr:uid="{00000000-0005-0000-0000-0000BD020000}"/>
    <cellStyle name="—_GS Assumptions-F_Global Wireless1_CSC May 20_25 Valuation Model incl. new BP" xfId="2482" xr:uid="{00000000-0005-0000-0000-0000BE020000}"/>
    <cellStyle name="—_GS Assumptions-F_Global Wireless1_CSC May 20_33 Valuation Model incl. new BP" xfId="2483" xr:uid="{00000000-0005-0000-0000-0000BF020000}"/>
    <cellStyle name="—_GS Assumptions-F_Global Wireless1_CSC May 20_34 Valuation Model incl. new BP" xfId="2484" xr:uid="{00000000-0005-0000-0000-0000C0020000}"/>
    <cellStyle name="—_GS Assumptions-F_Global Wireless1_CSC May 20_37 Valuation Model incl. new BP" xfId="2485" xr:uid="{00000000-0005-0000-0000-0000C1020000}"/>
    <cellStyle name="—_GS Assumptions-F_Global Wireless1_CSC May 20_38 Valuation Model incl. new BP" xfId="2486" xr:uid="{00000000-0005-0000-0000-0000C2020000}"/>
    <cellStyle name="—_GS Assumptions-F_Global Wireless1_CSC May 20_39 Valuation Model incl. new BP" xfId="2487" xr:uid="{00000000-0005-0000-0000-0000C3020000}"/>
    <cellStyle name="—_GS Assumptions-F_Global Wireless1_CSC May 20_40 Valuation Model incl. new BP" xfId="2488" xr:uid="{00000000-0005-0000-0000-0000C4020000}"/>
    <cellStyle name="—_GS Assumptions-F_Global Wireless1_CSC May 20_44 Valuation Model incl. new BP" xfId="2489" xr:uid="{00000000-0005-0000-0000-0000C5020000}"/>
    <cellStyle name="—_GS_Balance" xfId="2490" xr:uid="{00000000-0005-0000-0000-0000C6020000}"/>
    <cellStyle name="—_GS_Balance_03_ Clean LBO Model" xfId="2491" xr:uid="{00000000-0005-0000-0000-0000C7020000}"/>
    <cellStyle name="—_GS_Balance_05_ Clean LBO Model" xfId="2492" xr:uid="{00000000-0005-0000-0000-0000C8020000}"/>
    <cellStyle name="—_GS_Balance_08 Valuation Model incl. new BP" xfId="2493" xr:uid="{00000000-0005-0000-0000-0000C9020000}"/>
    <cellStyle name="—_GS_Balance_09 Valuation Model incl. new BP" xfId="2494" xr:uid="{00000000-0005-0000-0000-0000CA020000}"/>
    <cellStyle name="—_GS_Balance_13 Valuation Model incl. new BP" xfId="2495" xr:uid="{00000000-0005-0000-0000-0000CB020000}"/>
    <cellStyle name="—_GS_Balance_14 Valuation Model incl. new BP" xfId="2496" xr:uid="{00000000-0005-0000-0000-0000CC020000}"/>
    <cellStyle name="—_GS_Balance_15_ Clean LBO Model" xfId="2497" xr:uid="{00000000-0005-0000-0000-0000CD020000}"/>
    <cellStyle name="—_GS_Balance_20 Valuation Model incl. new BP" xfId="2498" xr:uid="{00000000-0005-0000-0000-0000CE020000}"/>
    <cellStyle name="—_GS_Balance_25 Valuation Model incl. new BP" xfId="2499" xr:uid="{00000000-0005-0000-0000-0000CF020000}"/>
    <cellStyle name="—_GS_Balance_33 Valuation Model incl. new BP" xfId="2500" xr:uid="{00000000-0005-0000-0000-0000D0020000}"/>
    <cellStyle name="—_GS_Balance_34 Valuation Model incl. new BP" xfId="2501" xr:uid="{00000000-0005-0000-0000-0000D1020000}"/>
    <cellStyle name="—_GS_Balance_37 Valuation Model incl. new BP" xfId="2502" xr:uid="{00000000-0005-0000-0000-0000D2020000}"/>
    <cellStyle name="—_GS_Balance_38 Valuation Model incl. new BP" xfId="2503" xr:uid="{00000000-0005-0000-0000-0000D3020000}"/>
    <cellStyle name="—_GS_Balance_39 Valuation Model incl. new BP" xfId="2504" xr:uid="{00000000-0005-0000-0000-0000D4020000}"/>
    <cellStyle name="—_GS_Balance_40 Valuation Model incl. new BP" xfId="2505" xr:uid="{00000000-0005-0000-0000-0000D5020000}"/>
    <cellStyle name="—_GS_Balance_44 Valuation Model incl. new BP" xfId="2506" xr:uid="{00000000-0005-0000-0000-0000D6020000}"/>
    <cellStyle name="—_GS_Balance_Global Wireless1" xfId="2507" xr:uid="{00000000-0005-0000-0000-0000D7020000}"/>
    <cellStyle name="—_GS_Balance_Global Wireless1_03 CSC May 20" xfId="2508" xr:uid="{00000000-0005-0000-0000-0000D8020000}"/>
    <cellStyle name="—_GS_Balance_Global Wireless1_03 CSC May 20_03_ Clean LBO Model" xfId="2509" xr:uid="{00000000-0005-0000-0000-0000D9020000}"/>
    <cellStyle name="—_GS_Balance_Global Wireless1_03 CSC May 20_05_ Clean LBO Model" xfId="2510" xr:uid="{00000000-0005-0000-0000-0000DA020000}"/>
    <cellStyle name="—_GS_Balance_Global Wireless1_03 CSC May 20_08 Valuation Model incl. new BP" xfId="2511" xr:uid="{00000000-0005-0000-0000-0000DB020000}"/>
    <cellStyle name="—_GS_Balance_Global Wireless1_03 CSC May 20_09 Valuation Model incl. new BP" xfId="2512" xr:uid="{00000000-0005-0000-0000-0000DC020000}"/>
    <cellStyle name="—_GS_Balance_Global Wireless1_03 CSC May 20_13 Valuation Model incl. new BP" xfId="2513" xr:uid="{00000000-0005-0000-0000-0000DD020000}"/>
    <cellStyle name="—_GS_Balance_Global Wireless1_03 CSC May 20_14 Valuation Model incl. new BP" xfId="2514" xr:uid="{00000000-0005-0000-0000-0000DE020000}"/>
    <cellStyle name="—_GS_Balance_Global Wireless1_03 CSC May 20_15_ Clean LBO Model" xfId="2515" xr:uid="{00000000-0005-0000-0000-0000DF020000}"/>
    <cellStyle name="—_GS_Balance_Global Wireless1_03 CSC May 20_20 Valuation Model incl. new BP" xfId="2516" xr:uid="{00000000-0005-0000-0000-0000E0020000}"/>
    <cellStyle name="—_GS_Balance_Global Wireless1_03 CSC May 20_25 Valuation Model incl. new BP" xfId="2517" xr:uid="{00000000-0005-0000-0000-0000E1020000}"/>
    <cellStyle name="—_GS_Balance_Global Wireless1_03 CSC May 20_33 Valuation Model incl. new BP" xfId="2518" xr:uid="{00000000-0005-0000-0000-0000E2020000}"/>
    <cellStyle name="—_GS_Balance_Global Wireless1_03 CSC May 20_34 Valuation Model incl. new BP" xfId="2519" xr:uid="{00000000-0005-0000-0000-0000E3020000}"/>
    <cellStyle name="—_GS_Balance_Global Wireless1_03 CSC May 20_37 Valuation Model incl. new BP" xfId="2520" xr:uid="{00000000-0005-0000-0000-0000E4020000}"/>
    <cellStyle name="—_GS_Balance_Global Wireless1_03 CSC May 20_38 Valuation Model incl. new BP" xfId="2521" xr:uid="{00000000-0005-0000-0000-0000E5020000}"/>
    <cellStyle name="—_GS_Balance_Global Wireless1_03 CSC May 20_39 Valuation Model incl. new BP" xfId="2522" xr:uid="{00000000-0005-0000-0000-0000E6020000}"/>
    <cellStyle name="—_GS_Balance_Global Wireless1_03 CSC May 20_40 Valuation Model incl. new BP" xfId="2523" xr:uid="{00000000-0005-0000-0000-0000E7020000}"/>
    <cellStyle name="—_GS_Balance_Global Wireless1_03 CSC May 20_44 Valuation Model incl. new BP" xfId="2524" xr:uid="{00000000-0005-0000-0000-0000E8020000}"/>
    <cellStyle name="—_GS_Balance_Global Wireless1_03_ Clean LBO Model" xfId="2525" xr:uid="{00000000-0005-0000-0000-0000E9020000}"/>
    <cellStyle name="—_GS_Balance_Global Wireless1_05_ Clean LBO Model" xfId="2526" xr:uid="{00000000-0005-0000-0000-0000EA020000}"/>
    <cellStyle name="—_GS_Balance_Global Wireless1_08 Valuation Model incl. new BP" xfId="2527" xr:uid="{00000000-0005-0000-0000-0000EB020000}"/>
    <cellStyle name="—_GS_Balance_Global Wireless1_09 Valuation Model incl. new BP" xfId="2528" xr:uid="{00000000-0005-0000-0000-0000EC020000}"/>
    <cellStyle name="—_GS_Balance_Global Wireless1_13 Valuation Model incl. new BP" xfId="2529" xr:uid="{00000000-0005-0000-0000-0000ED020000}"/>
    <cellStyle name="—_GS_Balance_Global Wireless1_14 Valuation Model incl. new BP" xfId="2530" xr:uid="{00000000-0005-0000-0000-0000EE020000}"/>
    <cellStyle name="—_GS_Balance_Global Wireless1_15_ Clean LBO Model" xfId="2531" xr:uid="{00000000-0005-0000-0000-0000EF020000}"/>
    <cellStyle name="—_GS_Balance_Global Wireless1_20 Valuation Model incl. new BP" xfId="2532" xr:uid="{00000000-0005-0000-0000-0000F0020000}"/>
    <cellStyle name="—_GS_Balance_Global Wireless1_25 Valuation Model incl. new BP" xfId="2533" xr:uid="{00000000-0005-0000-0000-0000F1020000}"/>
    <cellStyle name="—_GS_Balance_Global Wireless1_33 Valuation Model incl. new BP" xfId="2534" xr:uid="{00000000-0005-0000-0000-0000F2020000}"/>
    <cellStyle name="—_GS_Balance_Global Wireless1_34 Valuation Model incl. new BP" xfId="2535" xr:uid="{00000000-0005-0000-0000-0000F3020000}"/>
    <cellStyle name="—_GS_Balance_Global Wireless1_37 Valuation Model incl. new BP" xfId="2536" xr:uid="{00000000-0005-0000-0000-0000F4020000}"/>
    <cellStyle name="—_GS_Balance_Global Wireless1_38 Valuation Model incl. new BP" xfId="2537" xr:uid="{00000000-0005-0000-0000-0000F5020000}"/>
    <cellStyle name="—_GS_Balance_Global Wireless1_39 Valuation Model incl. new BP" xfId="2538" xr:uid="{00000000-0005-0000-0000-0000F6020000}"/>
    <cellStyle name="—_GS_Balance_Global Wireless1_40 Valuation Model incl. new BP" xfId="2539" xr:uid="{00000000-0005-0000-0000-0000F7020000}"/>
    <cellStyle name="—_GS_Balance_Global Wireless1_44 Valuation Model incl. new BP" xfId="2540" xr:uid="{00000000-0005-0000-0000-0000F8020000}"/>
    <cellStyle name="—_GS_Balance_Global Wireless1_CSC May 20" xfId="2541" xr:uid="{00000000-0005-0000-0000-0000F9020000}"/>
    <cellStyle name="—_GS_Balance_Global Wireless1_CSC May 20_03_ Clean LBO Model" xfId="2542" xr:uid="{00000000-0005-0000-0000-0000FA020000}"/>
    <cellStyle name="—_GS_Balance_Global Wireless1_CSC May 20_05_ Clean LBO Model" xfId="2543" xr:uid="{00000000-0005-0000-0000-0000FB020000}"/>
    <cellStyle name="—_GS_Balance_Global Wireless1_CSC May 20_08 Valuation Model incl. new BP" xfId="2544" xr:uid="{00000000-0005-0000-0000-0000FC020000}"/>
    <cellStyle name="—_GS_Balance_Global Wireless1_CSC May 20_09 Valuation Model incl. new BP" xfId="2545" xr:uid="{00000000-0005-0000-0000-0000FD020000}"/>
    <cellStyle name="—_GS_Balance_Global Wireless1_CSC May 20_13 Valuation Model incl. new BP" xfId="2546" xr:uid="{00000000-0005-0000-0000-0000FE020000}"/>
    <cellStyle name="—_GS_Balance_Global Wireless1_CSC May 20_14 Valuation Model incl. new BP" xfId="2547" xr:uid="{00000000-0005-0000-0000-0000FF020000}"/>
    <cellStyle name="—_GS_Balance_Global Wireless1_CSC May 20_15_ Clean LBO Model" xfId="2548" xr:uid="{00000000-0005-0000-0000-000000030000}"/>
    <cellStyle name="—_GS_Balance_Global Wireless1_CSC May 20_20 Valuation Model incl. new BP" xfId="2549" xr:uid="{00000000-0005-0000-0000-000001030000}"/>
    <cellStyle name="—_GS_Balance_Global Wireless1_CSC May 20_25 Valuation Model incl. new BP" xfId="2550" xr:uid="{00000000-0005-0000-0000-000002030000}"/>
    <cellStyle name="—_GS_Balance_Global Wireless1_CSC May 20_33 Valuation Model incl. new BP" xfId="2551" xr:uid="{00000000-0005-0000-0000-000003030000}"/>
    <cellStyle name="—_GS_Balance_Global Wireless1_CSC May 20_34 Valuation Model incl. new BP" xfId="2552" xr:uid="{00000000-0005-0000-0000-000004030000}"/>
    <cellStyle name="—_GS_Balance_Global Wireless1_CSC May 20_37 Valuation Model incl. new BP" xfId="2553" xr:uid="{00000000-0005-0000-0000-000005030000}"/>
    <cellStyle name="—_GS_Balance_Global Wireless1_CSC May 20_38 Valuation Model incl. new BP" xfId="2554" xr:uid="{00000000-0005-0000-0000-000006030000}"/>
    <cellStyle name="—_GS_Balance_Global Wireless1_CSC May 20_39 Valuation Model incl. new BP" xfId="2555" xr:uid="{00000000-0005-0000-0000-000007030000}"/>
    <cellStyle name="—_GS_Balance_Global Wireless1_CSC May 20_40 Valuation Model incl. new BP" xfId="2556" xr:uid="{00000000-0005-0000-0000-000008030000}"/>
    <cellStyle name="—_GS_Balance_Global Wireless1_CSC May 20_44 Valuation Model incl. new BP" xfId="2557" xr:uid="{00000000-0005-0000-0000-000009030000}"/>
    <cellStyle name="—_GS_Cash " xfId="2558" xr:uid="{00000000-0005-0000-0000-00000A030000}"/>
    <cellStyle name="—_GS_Cash  (2)" xfId="2559" xr:uid="{00000000-0005-0000-0000-00000B030000}"/>
    <cellStyle name="—_GS_Cash  (2)_03_ Clean LBO Model" xfId="2560" xr:uid="{00000000-0005-0000-0000-00000C030000}"/>
    <cellStyle name="—_GS_Cash  (2)_05_ Clean LBO Model" xfId="2561" xr:uid="{00000000-0005-0000-0000-00000D030000}"/>
    <cellStyle name="—_GS_Cash  (2)_08 Valuation Model incl. new BP" xfId="2562" xr:uid="{00000000-0005-0000-0000-00000E030000}"/>
    <cellStyle name="—_GS_Cash  (2)_09 Valuation Model incl. new BP" xfId="2563" xr:uid="{00000000-0005-0000-0000-00000F030000}"/>
    <cellStyle name="—_GS_Cash  (2)_13 Valuation Model incl. new BP" xfId="2564" xr:uid="{00000000-0005-0000-0000-000010030000}"/>
    <cellStyle name="—_GS_Cash  (2)_14 Valuation Model incl. new BP" xfId="2565" xr:uid="{00000000-0005-0000-0000-000011030000}"/>
    <cellStyle name="—_GS_Cash  (2)_15_ Clean LBO Model" xfId="2566" xr:uid="{00000000-0005-0000-0000-000012030000}"/>
    <cellStyle name="—_GS_Cash  (2)_20 Valuation Model incl. new BP" xfId="2567" xr:uid="{00000000-0005-0000-0000-000013030000}"/>
    <cellStyle name="—_GS_Cash  (2)_25 Valuation Model incl. new BP" xfId="2568" xr:uid="{00000000-0005-0000-0000-000014030000}"/>
    <cellStyle name="—_GS_Cash  (2)_33 Valuation Model incl. new BP" xfId="2569" xr:uid="{00000000-0005-0000-0000-000015030000}"/>
    <cellStyle name="—_GS_Cash  (2)_34 Valuation Model incl. new BP" xfId="2570" xr:uid="{00000000-0005-0000-0000-000016030000}"/>
    <cellStyle name="—_GS_Cash  (2)_37 Valuation Model incl. new BP" xfId="2571" xr:uid="{00000000-0005-0000-0000-000017030000}"/>
    <cellStyle name="—_GS_Cash  (2)_38 Valuation Model incl. new BP" xfId="2572" xr:uid="{00000000-0005-0000-0000-000018030000}"/>
    <cellStyle name="—_GS_Cash  (2)_39 Valuation Model incl. new BP" xfId="2573" xr:uid="{00000000-0005-0000-0000-000019030000}"/>
    <cellStyle name="—_GS_Cash  (2)_40 Valuation Model incl. new BP" xfId="2574" xr:uid="{00000000-0005-0000-0000-00001A030000}"/>
    <cellStyle name="—_GS_Cash  (2)_44 Valuation Model incl. new BP" xfId="2575" xr:uid="{00000000-0005-0000-0000-00001B030000}"/>
    <cellStyle name="—_GS_Cash  (2)_Global Wireless1" xfId="2576" xr:uid="{00000000-0005-0000-0000-00001C030000}"/>
    <cellStyle name="—_GS_Cash  (2)_Global Wireless1_03 CSC May 20" xfId="2577" xr:uid="{00000000-0005-0000-0000-00001D030000}"/>
    <cellStyle name="—_GS_Cash  (2)_Global Wireless1_03 CSC May 20_03_ Clean LBO Model" xfId="2578" xr:uid="{00000000-0005-0000-0000-00001E030000}"/>
    <cellStyle name="—_GS_Cash  (2)_Global Wireless1_03 CSC May 20_05_ Clean LBO Model" xfId="2579" xr:uid="{00000000-0005-0000-0000-00001F030000}"/>
    <cellStyle name="—_GS_Cash  (2)_Global Wireless1_03 CSC May 20_08 Valuation Model incl. new BP" xfId="2580" xr:uid="{00000000-0005-0000-0000-000020030000}"/>
    <cellStyle name="—_GS_Cash  (2)_Global Wireless1_03 CSC May 20_09 Valuation Model incl. new BP" xfId="2581" xr:uid="{00000000-0005-0000-0000-000021030000}"/>
    <cellStyle name="—_GS_Cash  (2)_Global Wireless1_03 CSC May 20_13 Valuation Model incl. new BP" xfId="2582" xr:uid="{00000000-0005-0000-0000-000022030000}"/>
    <cellStyle name="—_GS_Cash  (2)_Global Wireless1_03 CSC May 20_14 Valuation Model incl. new BP" xfId="2583" xr:uid="{00000000-0005-0000-0000-000023030000}"/>
    <cellStyle name="—_GS_Cash  (2)_Global Wireless1_03 CSC May 20_15_ Clean LBO Model" xfId="2584" xr:uid="{00000000-0005-0000-0000-000024030000}"/>
    <cellStyle name="—_GS_Cash  (2)_Global Wireless1_03 CSC May 20_20 Valuation Model incl. new BP" xfId="2585" xr:uid="{00000000-0005-0000-0000-000025030000}"/>
    <cellStyle name="—_GS_Cash  (2)_Global Wireless1_03 CSC May 20_25 Valuation Model incl. new BP" xfId="2586" xr:uid="{00000000-0005-0000-0000-000026030000}"/>
    <cellStyle name="—_GS_Cash  (2)_Global Wireless1_03 CSC May 20_33 Valuation Model incl. new BP" xfId="2587" xr:uid="{00000000-0005-0000-0000-000027030000}"/>
    <cellStyle name="—_GS_Cash  (2)_Global Wireless1_03 CSC May 20_34 Valuation Model incl. new BP" xfId="2588" xr:uid="{00000000-0005-0000-0000-000028030000}"/>
    <cellStyle name="—_GS_Cash  (2)_Global Wireless1_03 CSC May 20_37 Valuation Model incl. new BP" xfId="2589" xr:uid="{00000000-0005-0000-0000-000029030000}"/>
    <cellStyle name="—_GS_Cash  (2)_Global Wireless1_03 CSC May 20_38 Valuation Model incl. new BP" xfId="2590" xr:uid="{00000000-0005-0000-0000-00002A030000}"/>
    <cellStyle name="—_GS_Cash  (2)_Global Wireless1_03 CSC May 20_39 Valuation Model incl. new BP" xfId="2591" xr:uid="{00000000-0005-0000-0000-00002B030000}"/>
    <cellStyle name="—_GS_Cash  (2)_Global Wireless1_03 CSC May 20_40 Valuation Model incl. new BP" xfId="2592" xr:uid="{00000000-0005-0000-0000-00002C030000}"/>
    <cellStyle name="—_GS_Cash  (2)_Global Wireless1_03 CSC May 20_44 Valuation Model incl. new BP" xfId="2593" xr:uid="{00000000-0005-0000-0000-00002D030000}"/>
    <cellStyle name="—_GS_Cash  (2)_Global Wireless1_03_ Clean LBO Model" xfId="2594" xr:uid="{00000000-0005-0000-0000-00002E030000}"/>
    <cellStyle name="—_GS_Cash  (2)_Global Wireless1_05_ Clean LBO Model" xfId="2595" xr:uid="{00000000-0005-0000-0000-00002F030000}"/>
    <cellStyle name="—_GS_Cash  (2)_Global Wireless1_08 Valuation Model incl. new BP" xfId="2596" xr:uid="{00000000-0005-0000-0000-000030030000}"/>
    <cellStyle name="—_GS_Cash  (2)_Global Wireless1_09 Valuation Model incl. new BP" xfId="2597" xr:uid="{00000000-0005-0000-0000-000031030000}"/>
    <cellStyle name="—_GS_Cash  (2)_Global Wireless1_13 Valuation Model incl. new BP" xfId="2598" xr:uid="{00000000-0005-0000-0000-000032030000}"/>
    <cellStyle name="—_GS_Cash  (2)_Global Wireless1_14 Valuation Model incl. new BP" xfId="2599" xr:uid="{00000000-0005-0000-0000-000033030000}"/>
    <cellStyle name="—_GS_Cash  (2)_Global Wireless1_15_ Clean LBO Model" xfId="2600" xr:uid="{00000000-0005-0000-0000-000034030000}"/>
    <cellStyle name="—_GS_Cash  (2)_Global Wireless1_20 Valuation Model incl. new BP" xfId="2601" xr:uid="{00000000-0005-0000-0000-000035030000}"/>
    <cellStyle name="—_GS_Cash  (2)_Global Wireless1_25 Valuation Model incl. new BP" xfId="2602" xr:uid="{00000000-0005-0000-0000-000036030000}"/>
    <cellStyle name="—_GS_Cash  (2)_Global Wireless1_33 Valuation Model incl. new BP" xfId="2603" xr:uid="{00000000-0005-0000-0000-000037030000}"/>
    <cellStyle name="—_GS_Cash  (2)_Global Wireless1_34 Valuation Model incl. new BP" xfId="2604" xr:uid="{00000000-0005-0000-0000-000038030000}"/>
    <cellStyle name="—_GS_Cash  (2)_Global Wireless1_37 Valuation Model incl. new BP" xfId="2605" xr:uid="{00000000-0005-0000-0000-000039030000}"/>
    <cellStyle name="—_GS_Cash  (2)_Global Wireless1_38 Valuation Model incl. new BP" xfId="2606" xr:uid="{00000000-0005-0000-0000-00003A030000}"/>
    <cellStyle name="—_GS_Cash  (2)_Global Wireless1_39 Valuation Model incl. new BP" xfId="2607" xr:uid="{00000000-0005-0000-0000-00003B030000}"/>
    <cellStyle name="—_GS_Cash  (2)_Global Wireless1_40 Valuation Model incl. new BP" xfId="2608" xr:uid="{00000000-0005-0000-0000-00003C030000}"/>
    <cellStyle name="—_GS_Cash  (2)_Global Wireless1_44 Valuation Model incl. new BP" xfId="2609" xr:uid="{00000000-0005-0000-0000-00003D030000}"/>
    <cellStyle name="—_GS_Cash  (2)_Global Wireless1_CSC May 20" xfId="2610" xr:uid="{00000000-0005-0000-0000-00003E030000}"/>
    <cellStyle name="—_GS_Cash  (2)_Global Wireless1_CSC May 20_03_ Clean LBO Model" xfId="2611" xr:uid="{00000000-0005-0000-0000-00003F030000}"/>
    <cellStyle name="—_GS_Cash  (2)_Global Wireless1_CSC May 20_05_ Clean LBO Model" xfId="2612" xr:uid="{00000000-0005-0000-0000-000040030000}"/>
    <cellStyle name="—_GS_Cash  (2)_Global Wireless1_CSC May 20_08 Valuation Model incl. new BP" xfId="2613" xr:uid="{00000000-0005-0000-0000-000041030000}"/>
    <cellStyle name="—_GS_Cash  (2)_Global Wireless1_CSC May 20_09 Valuation Model incl. new BP" xfId="2614" xr:uid="{00000000-0005-0000-0000-000042030000}"/>
    <cellStyle name="—_GS_Cash  (2)_Global Wireless1_CSC May 20_13 Valuation Model incl. new BP" xfId="2615" xr:uid="{00000000-0005-0000-0000-000043030000}"/>
    <cellStyle name="—_GS_Cash  (2)_Global Wireless1_CSC May 20_14 Valuation Model incl. new BP" xfId="2616" xr:uid="{00000000-0005-0000-0000-000044030000}"/>
    <cellStyle name="—_GS_Cash  (2)_Global Wireless1_CSC May 20_15_ Clean LBO Model" xfId="2617" xr:uid="{00000000-0005-0000-0000-000045030000}"/>
    <cellStyle name="—_GS_Cash  (2)_Global Wireless1_CSC May 20_20 Valuation Model incl. new BP" xfId="2618" xr:uid="{00000000-0005-0000-0000-000046030000}"/>
    <cellStyle name="—_GS_Cash  (2)_Global Wireless1_CSC May 20_25 Valuation Model incl. new BP" xfId="2619" xr:uid="{00000000-0005-0000-0000-000047030000}"/>
    <cellStyle name="—_GS_Cash  (2)_Global Wireless1_CSC May 20_33 Valuation Model incl. new BP" xfId="2620" xr:uid="{00000000-0005-0000-0000-000048030000}"/>
    <cellStyle name="—_GS_Cash  (2)_Global Wireless1_CSC May 20_34 Valuation Model incl. new BP" xfId="2621" xr:uid="{00000000-0005-0000-0000-000049030000}"/>
    <cellStyle name="—_GS_Cash  (2)_Global Wireless1_CSC May 20_37 Valuation Model incl. new BP" xfId="2622" xr:uid="{00000000-0005-0000-0000-00004A030000}"/>
    <cellStyle name="—_GS_Cash  (2)_Global Wireless1_CSC May 20_38 Valuation Model incl. new BP" xfId="2623" xr:uid="{00000000-0005-0000-0000-00004B030000}"/>
    <cellStyle name="—_GS_Cash  (2)_Global Wireless1_CSC May 20_39 Valuation Model incl. new BP" xfId="2624" xr:uid="{00000000-0005-0000-0000-00004C030000}"/>
    <cellStyle name="—_GS_Cash  (2)_Global Wireless1_CSC May 20_40 Valuation Model incl. new BP" xfId="2625" xr:uid="{00000000-0005-0000-0000-00004D030000}"/>
    <cellStyle name="—_GS_Cash  (2)_Global Wireless1_CSC May 20_44 Valuation Model incl. new BP" xfId="2626" xr:uid="{00000000-0005-0000-0000-00004E030000}"/>
    <cellStyle name="—_GS_Cash _03_ Clean LBO Model" xfId="2627" xr:uid="{00000000-0005-0000-0000-00004F030000}"/>
    <cellStyle name="—_GS_Cash _05_ Clean LBO Model" xfId="2628" xr:uid="{00000000-0005-0000-0000-000050030000}"/>
    <cellStyle name="—_GS_Cash _08 Valuation Model incl. new BP" xfId="2629" xr:uid="{00000000-0005-0000-0000-000051030000}"/>
    <cellStyle name="—_GS_Cash _09 Valuation Model incl. new BP" xfId="2630" xr:uid="{00000000-0005-0000-0000-000052030000}"/>
    <cellStyle name="—_GS_Cash _13 Valuation Model incl. new BP" xfId="2631" xr:uid="{00000000-0005-0000-0000-000053030000}"/>
    <cellStyle name="—_GS_Cash _14 Valuation Model incl. new BP" xfId="2632" xr:uid="{00000000-0005-0000-0000-000054030000}"/>
    <cellStyle name="—_GS_Cash _15_ Clean LBO Model" xfId="2633" xr:uid="{00000000-0005-0000-0000-000055030000}"/>
    <cellStyle name="—_GS_Cash _20 Valuation Model incl. new BP" xfId="2634" xr:uid="{00000000-0005-0000-0000-000056030000}"/>
    <cellStyle name="—_GS_Cash _25 Valuation Model incl. new BP" xfId="2635" xr:uid="{00000000-0005-0000-0000-000057030000}"/>
    <cellStyle name="—_GS_Cash _33 Valuation Model incl. new BP" xfId="2636" xr:uid="{00000000-0005-0000-0000-000058030000}"/>
    <cellStyle name="—_GS_Cash _34 Valuation Model incl. new BP" xfId="2637" xr:uid="{00000000-0005-0000-0000-000059030000}"/>
    <cellStyle name="—_GS_Cash _37 Valuation Model incl. new BP" xfId="2638" xr:uid="{00000000-0005-0000-0000-00005A030000}"/>
    <cellStyle name="—_GS_Cash _38 Valuation Model incl. new BP" xfId="2639" xr:uid="{00000000-0005-0000-0000-00005B030000}"/>
    <cellStyle name="—_GS_Cash _39 Valuation Model incl. new BP" xfId="2640" xr:uid="{00000000-0005-0000-0000-00005C030000}"/>
    <cellStyle name="—_GS_Cash _40 Valuation Model incl. new BP" xfId="2641" xr:uid="{00000000-0005-0000-0000-00005D030000}"/>
    <cellStyle name="—_GS_Cash _44 Valuation Model incl. new BP" xfId="2642" xr:uid="{00000000-0005-0000-0000-00005E030000}"/>
    <cellStyle name="—_GS_Cash _Global Wireless1" xfId="2643" xr:uid="{00000000-0005-0000-0000-00005F030000}"/>
    <cellStyle name="—_GS_Cash _Global Wireless1_03 CSC May 20" xfId="2644" xr:uid="{00000000-0005-0000-0000-000060030000}"/>
    <cellStyle name="—_GS_Cash _Global Wireless1_03 CSC May 20_03_ Clean LBO Model" xfId="2645" xr:uid="{00000000-0005-0000-0000-000061030000}"/>
    <cellStyle name="—_GS_Cash _Global Wireless1_03 CSC May 20_05_ Clean LBO Model" xfId="2646" xr:uid="{00000000-0005-0000-0000-000062030000}"/>
    <cellStyle name="—_GS_Cash _Global Wireless1_03 CSC May 20_08 Valuation Model incl. new BP" xfId="2647" xr:uid="{00000000-0005-0000-0000-000063030000}"/>
    <cellStyle name="—_GS_Cash _Global Wireless1_03 CSC May 20_09 Valuation Model incl. new BP" xfId="2648" xr:uid="{00000000-0005-0000-0000-000064030000}"/>
    <cellStyle name="—_GS_Cash _Global Wireless1_03 CSC May 20_13 Valuation Model incl. new BP" xfId="2649" xr:uid="{00000000-0005-0000-0000-000065030000}"/>
    <cellStyle name="—_GS_Cash _Global Wireless1_03 CSC May 20_14 Valuation Model incl. new BP" xfId="2650" xr:uid="{00000000-0005-0000-0000-000066030000}"/>
    <cellStyle name="—_GS_Cash _Global Wireless1_03 CSC May 20_15_ Clean LBO Model" xfId="2651" xr:uid="{00000000-0005-0000-0000-000067030000}"/>
    <cellStyle name="—_GS_Cash _Global Wireless1_03 CSC May 20_20 Valuation Model incl. new BP" xfId="2652" xr:uid="{00000000-0005-0000-0000-000068030000}"/>
    <cellStyle name="—_GS_Cash _Global Wireless1_03 CSC May 20_25 Valuation Model incl. new BP" xfId="2653" xr:uid="{00000000-0005-0000-0000-000069030000}"/>
    <cellStyle name="—_GS_Cash _Global Wireless1_03 CSC May 20_33 Valuation Model incl. new BP" xfId="2654" xr:uid="{00000000-0005-0000-0000-00006A030000}"/>
    <cellStyle name="—_GS_Cash _Global Wireless1_03 CSC May 20_34 Valuation Model incl. new BP" xfId="2655" xr:uid="{00000000-0005-0000-0000-00006B030000}"/>
    <cellStyle name="—_GS_Cash _Global Wireless1_03 CSC May 20_37 Valuation Model incl. new BP" xfId="2656" xr:uid="{00000000-0005-0000-0000-00006C030000}"/>
    <cellStyle name="—_GS_Cash _Global Wireless1_03 CSC May 20_38 Valuation Model incl. new BP" xfId="2657" xr:uid="{00000000-0005-0000-0000-00006D030000}"/>
    <cellStyle name="—_GS_Cash _Global Wireless1_03 CSC May 20_39 Valuation Model incl. new BP" xfId="2658" xr:uid="{00000000-0005-0000-0000-00006E030000}"/>
    <cellStyle name="—_GS_Cash _Global Wireless1_03 CSC May 20_40 Valuation Model incl. new BP" xfId="2659" xr:uid="{00000000-0005-0000-0000-00006F030000}"/>
    <cellStyle name="—_GS_Cash _Global Wireless1_03 CSC May 20_44 Valuation Model incl. new BP" xfId="2660" xr:uid="{00000000-0005-0000-0000-000070030000}"/>
    <cellStyle name="—_GS_Cash _Global Wireless1_03_ Clean LBO Model" xfId="2661" xr:uid="{00000000-0005-0000-0000-000071030000}"/>
    <cellStyle name="—_GS_Cash _Global Wireless1_05_ Clean LBO Model" xfId="2662" xr:uid="{00000000-0005-0000-0000-000072030000}"/>
    <cellStyle name="—_GS_Cash _Global Wireless1_08 Valuation Model incl. new BP" xfId="2663" xr:uid="{00000000-0005-0000-0000-000073030000}"/>
    <cellStyle name="—_GS_Cash _Global Wireless1_09 Valuation Model incl. new BP" xfId="2664" xr:uid="{00000000-0005-0000-0000-000074030000}"/>
    <cellStyle name="—_GS_Cash _Global Wireless1_13 Valuation Model incl. new BP" xfId="2665" xr:uid="{00000000-0005-0000-0000-000075030000}"/>
    <cellStyle name="—_GS_Cash _Global Wireless1_14 Valuation Model incl. new BP" xfId="2666" xr:uid="{00000000-0005-0000-0000-000076030000}"/>
    <cellStyle name="—_GS_Cash _Global Wireless1_15_ Clean LBO Model" xfId="2667" xr:uid="{00000000-0005-0000-0000-000077030000}"/>
    <cellStyle name="—_GS_Cash _Global Wireless1_20 Valuation Model incl. new BP" xfId="2668" xr:uid="{00000000-0005-0000-0000-000078030000}"/>
    <cellStyle name="—_GS_Cash _Global Wireless1_25 Valuation Model incl. new BP" xfId="2669" xr:uid="{00000000-0005-0000-0000-000079030000}"/>
    <cellStyle name="—_GS_Cash _Global Wireless1_33 Valuation Model incl. new BP" xfId="2670" xr:uid="{00000000-0005-0000-0000-00007A030000}"/>
    <cellStyle name="—_GS_Cash _Global Wireless1_34 Valuation Model incl. new BP" xfId="2671" xr:uid="{00000000-0005-0000-0000-00007B030000}"/>
    <cellStyle name="—_GS_Cash _Global Wireless1_37 Valuation Model incl. new BP" xfId="2672" xr:uid="{00000000-0005-0000-0000-00007C030000}"/>
    <cellStyle name="—_GS_Cash _Global Wireless1_38 Valuation Model incl. new BP" xfId="2673" xr:uid="{00000000-0005-0000-0000-00007D030000}"/>
    <cellStyle name="—_GS_Cash _Global Wireless1_39 Valuation Model incl. new BP" xfId="2674" xr:uid="{00000000-0005-0000-0000-00007E030000}"/>
    <cellStyle name="—_GS_Cash _Global Wireless1_40 Valuation Model incl. new BP" xfId="2675" xr:uid="{00000000-0005-0000-0000-00007F030000}"/>
    <cellStyle name="—_GS_Cash _Global Wireless1_44 Valuation Model incl. new BP" xfId="2676" xr:uid="{00000000-0005-0000-0000-000080030000}"/>
    <cellStyle name="—_GS_Cash _Global Wireless1_CSC May 20" xfId="2677" xr:uid="{00000000-0005-0000-0000-000081030000}"/>
    <cellStyle name="—_GS_Cash _Global Wireless1_CSC May 20_03_ Clean LBO Model" xfId="2678" xr:uid="{00000000-0005-0000-0000-000082030000}"/>
    <cellStyle name="—_GS_Cash _Global Wireless1_CSC May 20_05_ Clean LBO Model" xfId="2679" xr:uid="{00000000-0005-0000-0000-000083030000}"/>
    <cellStyle name="—_GS_Cash _Global Wireless1_CSC May 20_08 Valuation Model incl. new BP" xfId="2680" xr:uid="{00000000-0005-0000-0000-000084030000}"/>
    <cellStyle name="—_GS_Cash _Global Wireless1_CSC May 20_09 Valuation Model incl. new BP" xfId="2681" xr:uid="{00000000-0005-0000-0000-000085030000}"/>
    <cellStyle name="—_GS_Cash _Global Wireless1_CSC May 20_13 Valuation Model incl. new BP" xfId="2682" xr:uid="{00000000-0005-0000-0000-000086030000}"/>
    <cellStyle name="—_GS_Cash _Global Wireless1_CSC May 20_14 Valuation Model incl. new BP" xfId="2683" xr:uid="{00000000-0005-0000-0000-000087030000}"/>
    <cellStyle name="—_GS_Cash _Global Wireless1_CSC May 20_15_ Clean LBO Model" xfId="2684" xr:uid="{00000000-0005-0000-0000-000088030000}"/>
    <cellStyle name="—_GS_Cash _Global Wireless1_CSC May 20_20 Valuation Model incl. new BP" xfId="2685" xr:uid="{00000000-0005-0000-0000-000089030000}"/>
    <cellStyle name="—_GS_Cash _Global Wireless1_CSC May 20_25 Valuation Model incl. new BP" xfId="2686" xr:uid="{00000000-0005-0000-0000-00008A030000}"/>
    <cellStyle name="—_GS_Cash _Global Wireless1_CSC May 20_33 Valuation Model incl. new BP" xfId="2687" xr:uid="{00000000-0005-0000-0000-00008B030000}"/>
    <cellStyle name="—_GS_Cash _Global Wireless1_CSC May 20_34 Valuation Model incl. new BP" xfId="2688" xr:uid="{00000000-0005-0000-0000-00008C030000}"/>
    <cellStyle name="—_GS_Cash _Global Wireless1_CSC May 20_37 Valuation Model incl. new BP" xfId="2689" xr:uid="{00000000-0005-0000-0000-00008D030000}"/>
    <cellStyle name="—_GS_Cash _Global Wireless1_CSC May 20_38 Valuation Model incl. new BP" xfId="2690" xr:uid="{00000000-0005-0000-0000-00008E030000}"/>
    <cellStyle name="—_GS_Cash _Global Wireless1_CSC May 20_39 Valuation Model incl. new BP" xfId="2691" xr:uid="{00000000-0005-0000-0000-00008F030000}"/>
    <cellStyle name="—_GS_Cash _Global Wireless1_CSC May 20_40 Valuation Model incl. new BP" xfId="2692" xr:uid="{00000000-0005-0000-0000-000090030000}"/>
    <cellStyle name="—_GS_Cash _Global Wireless1_CSC May 20_44 Valuation Model incl. new BP" xfId="2693" xr:uid="{00000000-0005-0000-0000-000091030000}"/>
    <cellStyle name="—_GS_DCF" xfId="2694" xr:uid="{00000000-0005-0000-0000-000092030000}"/>
    <cellStyle name="—_GS_DCF_03_ Clean LBO Model" xfId="2695" xr:uid="{00000000-0005-0000-0000-000093030000}"/>
    <cellStyle name="—_GS_DCF_05_ Clean LBO Model" xfId="2696" xr:uid="{00000000-0005-0000-0000-000094030000}"/>
    <cellStyle name="—_GS_DCF_08 Valuation Model incl. new BP" xfId="2697" xr:uid="{00000000-0005-0000-0000-000095030000}"/>
    <cellStyle name="—_GS_DCF_09 Valuation Model incl. new BP" xfId="2698" xr:uid="{00000000-0005-0000-0000-000096030000}"/>
    <cellStyle name="—_GS_DCF_13 Valuation Model incl. new BP" xfId="2699" xr:uid="{00000000-0005-0000-0000-000097030000}"/>
    <cellStyle name="—_GS_DCF_14 Valuation Model incl. new BP" xfId="2700" xr:uid="{00000000-0005-0000-0000-000098030000}"/>
    <cellStyle name="—_GS_DCF_15_ Clean LBO Model" xfId="2701" xr:uid="{00000000-0005-0000-0000-000099030000}"/>
    <cellStyle name="—_GS_DCF_20 Valuation Model incl. new BP" xfId="2702" xr:uid="{00000000-0005-0000-0000-00009A030000}"/>
    <cellStyle name="—_GS_DCF_25 Valuation Model incl. new BP" xfId="2703" xr:uid="{00000000-0005-0000-0000-00009B030000}"/>
    <cellStyle name="—_GS_DCF_33 Valuation Model incl. new BP" xfId="2704" xr:uid="{00000000-0005-0000-0000-00009C030000}"/>
    <cellStyle name="—_GS_DCF_34 Valuation Model incl. new BP" xfId="2705" xr:uid="{00000000-0005-0000-0000-00009D030000}"/>
    <cellStyle name="—_GS_DCF_37 Valuation Model incl. new BP" xfId="2706" xr:uid="{00000000-0005-0000-0000-00009E030000}"/>
    <cellStyle name="—_GS_DCF_38 Valuation Model incl. new BP" xfId="2707" xr:uid="{00000000-0005-0000-0000-00009F030000}"/>
    <cellStyle name="—_GS_DCF_39 Valuation Model incl. new BP" xfId="2708" xr:uid="{00000000-0005-0000-0000-0000A0030000}"/>
    <cellStyle name="—_GS_DCF_40 Valuation Model incl. new BP" xfId="2709" xr:uid="{00000000-0005-0000-0000-0000A1030000}"/>
    <cellStyle name="—_GS_DCF_44 Valuation Model incl. new BP" xfId="2710" xr:uid="{00000000-0005-0000-0000-0000A2030000}"/>
    <cellStyle name="—_GS_DCF_Global Wireless1" xfId="2711" xr:uid="{00000000-0005-0000-0000-0000A3030000}"/>
    <cellStyle name="—_GS_DCF_Global Wireless1_03 CSC May 20" xfId="2712" xr:uid="{00000000-0005-0000-0000-0000A4030000}"/>
    <cellStyle name="—_GS_DCF_Global Wireless1_03 CSC May 20_03_ Clean LBO Model" xfId="2713" xr:uid="{00000000-0005-0000-0000-0000A5030000}"/>
    <cellStyle name="—_GS_DCF_Global Wireless1_03 CSC May 20_05_ Clean LBO Model" xfId="2714" xr:uid="{00000000-0005-0000-0000-0000A6030000}"/>
    <cellStyle name="—_GS_DCF_Global Wireless1_03 CSC May 20_08 Valuation Model incl. new BP" xfId="2715" xr:uid="{00000000-0005-0000-0000-0000A7030000}"/>
    <cellStyle name="—_GS_DCF_Global Wireless1_03 CSC May 20_09 Valuation Model incl. new BP" xfId="2716" xr:uid="{00000000-0005-0000-0000-0000A8030000}"/>
    <cellStyle name="—_GS_DCF_Global Wireless1_03 CSC May 20_13 Valuation Model incl. new BP" xfId="2717" xr:uid="{00000000-0005-0000-0000-0000A9030000}"/>
    <cellStyle name="—_GS_DCF_Global Wireless1_03 CSC May 20_14 Valuation Model incl. new BP" xfId="2718" xr:uid="{00000000-0005-0000-0000-0000AA030000}"/>
    <cellStyle name="—_GS_DCF_Global Wireless1_03 CSC May 20_15_ Clean LBO Model" xfId="2719" xr:uid="{00000000-0005-0000-0000-0000AB030000}"/>
    <cellStyle name="—_GS_DCF_Global Wireless1_03 CSC May 20_20 Valuation Model incl. new BP" xfId="2720" xr:uid="{00000000-0005-0000-0000-0000AC030000}"/>
    <cellStyle name="—_GS_DCF_Global Wireless1_03 CSC May 20_25 Valuation Model incl. new BP" xfId="2721" xr:uid="{00000000-0005-0000-0000-0000AD030000}"/>
    <cellStyle name="—_GS_DCF_Global Wireless1_03 CSC May 20_33 Valuation Model incl. new BP" xfId="2722" xr:uid="{00000000-0005-0000-0000-0000AE030000}"/>
    <cellStyle name="—_GS_DCF_Global Wireless1_03 CSC May 20_34 Valuation Model incl. new BP" xfId="2723" xr:uid="{00000000-0005-0000-0000-0000AF030000}"/>
    <cellStyle name="—_GS_DCF_Global Wireless1_03 CSC May 20_37 Valuation Model incl. new BP" xfId="2724" xr:uid="{00000000-0005-0000-0000-0000B0030000}"/>
    <cellStyle name="—_GS_DCF_Global Wireless1_03 CSC May 20_38 Valuation Model incl. new BP" xfId="2725" xr:uid="{00000000-0005-0000-0000-0000B1030000}"/>
    <cellStyle name="—_GS_DCF_Global Wireless1_03 CSC May 20_39 Valuation Model incl. new BP" xfId="2726" xr:uid="{00000000-0005-0000-0000-0000B2030000}"/>
    <cellStyle name="—_GS_DCF_Global Wireless1_03 CSC May 20_40 Valuation Model incl. new BP" xfId="2727" xr:uid="{00000000-0005-0000-0000-0000B3030000}"/>
    <cellStyle name="—_GS_DCF_Global Wireless1_03 CSC May 20_44 Valuation Model incl. new BP" xfId="2728" xr:uid="{00000000-0005-0000-0000-0000B4030000}"/>
    <cellStyle name="—_GS_DCF_Global Wireless1_03_ Clean LBO Model" xfId="2729" xr:uid="{00000000-0005-0000-0000-0000B5030000}"/>
    <cellStyle name="—_GS_DCF_Global Wireless1_05_ Clean LBO Model" xfId="2730" xr:uid="{00000000-0005-0000-0000-0000B6030000}"/>
    <cellStyle name="—_GS_DCF_Global Wireless1_08 Valuation Model incl. new BP" xfId="2731" xr:uid="{00000000-0005-0000-0000-0000B7030000}"/>
    <cellStyle name="—_GS_DCF_Global Wireless1_09 Valuation Model incl. new BP" xfId="2732" xr:uid="{00000000-0005-0000-0000-0000B8030000}"/>
    <cellStyle name="—_GS_DCF_Global Wireless1_13 Valuation Model incl. new BP" xfId="2733" xr:uid="{00000000-0005-0000-0000-0000B9030000}"/>
    <cellStyle name="—_GS_DCF_Global Wireless1_14 Valuation Model incl. new BP" xfId="2734" xr:uid="{00000000-0005-0000-0000-0000BA030000}"/>
    <cellStyle name="—_GS_DCF_Global Wireless1_15_ Clean LBO Model" xfId="2735" xr:uid="{00000000-0005-0000-0000-0000BB030000}"/>
    <cellStyle name="—_GS_DCF_Global Wireless1_20 Valuation Model incl. new BP" xfId="2736" xr:uid="{00000000-0005-0000-0000-0000BC030000}"/>
    <cellStyle name="—_GS_DCF_Global Wireless1_25 Valuation Model incl. new BP" xfId="2737" xr:uid="{00000000-0005-0000-0000-0000BD030000}"/>
    <cellStyle name="—_GS_DCF_Global Wireless1_33 Valuation Model incl. new BP" xfId="2738" xr:uid="{00000000-0005-0000-0000-0000BE030000}"/>
    <cellStyle name="—_GS_DCF_Global Wireless1_34 Valuation Model incl. new BP" xfId="2739" xr:uid="{00000000-0005-0000-0000-0000BF030000}"/>
    <cellStyle name="—_GS_DCF_Global Wireless1_37 Valuation Model incl. new BP" xfId="2740" xr:uid="{00000000-0005-0000-0000-0000C0030000}"/>
    <cellStyle name="—_GS_DCF_Global Wireless1_38 Valuation Model incl. new BP" xfId="2741" xr:uid="{00000000-0005-0000-0000-0000C1030000}"/>
    <cellStyle name="—_GS_DCF_Global Wireless1_39 Valuation Model incl. new BP" xfId="2742" xr:uid="{00000000-0005-0000-0000-0000C2030000}"/>
    <cellStyle name="—_GS_DCF_Global Wireless1_40 Valuation Model incl. new BP" xfId="2743" xr:uid="{00000000-0005-0000-0000-0000C3030000}"/>
    <cellStyle name="—_GS_DCF_Global Wireless1_44 Valuation Model incl. new BP" xfId="2744" xr:uid="{00000000-0005-0000-0000-0000C4030000}"/>
    <cellStyle name="—_GS_DCF_Global Wireless1_CSC May 20" xfId="2745" xr:uid="{00000000-0005-0000-0000-0000C5030000}"/>
    <cellStyle name="—_GS_DCF_Global Wireless1_CSC May 20_03_ Clean LBO Model" xfId="2746" xr:uid="{00000000-0005-0000-0000-0000C6030000}"/>
    <cellStyle name="—_GS_DCF_Global Wireless1_CSC May 20_05_ Clean LBO Model" xfId="2747" xr:uid="{00000000-0005-0000-0000-0000C7030000}"/>
    <cellStyle name="—_GS_DCF_Global Wireless1_CSC May 20_08 Valuation Model incl. new BP" xfId="2748" xr:uid="{00000000-0005-0000-0000-0000C8030000}"/>
    <cellStyle name="—_GS_DCF_Global Wireless1_CSC May 20_09 Valuation Model incl. new BP" xfId="2749" xr:uid="{00000000-0005-0000-0000-0000C9030000}"/>
    <cellStyle name="—_GS_DCF_Global Wireless1_CSC May 20_13 Valuation Model incl. new BP" xfId="2750" xr:uid="{00000000-0005-0000-0000-0000CA030000}"/>
    <cellStyle name="—_GS_DCF_Global Wireless1_CSC May 20_14 Valuation Model incl. new BP" xfId="2751" xr:uid="{00000000-0005-0000-0000-0000CB030000}"/>
    <cellStyle name="—_GS_DCF_Global Wireless1_CSC May 20_15_ Clean LBO Model" xfId="2752" xr:uid="{00000000-0005-0000-0000-0000CC030000}"/>
    <cellStyle name="—_GS_DCF_Global Wireless1_CSC May 20_20 Valuation Model incl. new BP" xfId="2753" xr:uid="{00000000-0005-0000-0000-0000CD030000}"/>
    <cellStyle name="—_GS_DCF_Global Wireless1_CSC May 20_25 Valuation Model incl. new BP" xfId="2754" xr:uid="{00000000-0005-0000-0000-0000CE030000}"/>
    <cellStyle name="—_GS_DCF_Global Wireless1_CSC May 20_33 Valuation Model incl. new BP" xfId="2755" xr:uid="{00000000-0005-0000-0000-0000CF030000}"/>
    <cellStyle name="—_GS_DCF_Global Wireless1_CSC May 20_34 Valuation Model incl. new BP" xfId="2756" xr:uid="{00000000-0005-0000-0000-0000D0030000}"/>
    <cellStyle name="—_GS_DCF_Global Wireless1_CSC May 20_37 Valuation Model incl. new BP" xfId="2757" xr:uid="{00000000-0005-0000-0000-0000D1030000}"/>
    <cellStyle name="—_GS_DCF_Global Wireless1_CSC May 20_38 Valuation Model incl. new BP" xfId="2758" xr:uid="{00000000-0005-0000-0000-0000D2030000}"/>
    <cellStyle name="—_GS_DCF_Global Wireless1_CSC May 20_39 Valuation Model incl. new BP" xfId="2759" xr:uid="{00000000-0005-0000-0000-0000D3030000}"/>
    <cellStyle name="—_GS_DCF_Global Wireless1_CSC May 20_40 Valuation Model incl. new BP" xfId="2760" xr:uid="{00000000-0005-0000-0000-0000D4030000}"/>
    <cellStyle name="—_GS_DCF_Global Wireless1_CSC May 20_44 Valuation Model incl. new BP" xfId="2761" xr:uid="{00000000-0005-0000-0000-0000D5030000}"/>
    <cellStyle name="—_GS_PNL" xfId="2762" xr:uid="{00000000-0005-0000-0000-0000D6030000}"/>
    <cellStyle name="—_GS_PNL_03_ Clean LBO Model" xfId="2763" xr:uid="{00000000-0005-0000-0000-0000D7030000}"/>
    <cellStyle name="—_GS_PNL_05_ Clean LBO Model" xfId="2764" xr:uid="{00000000-0005-0000-0000-0000D8030000}"/>
    <cellStyle name="—_GS_PNL_08 Valuation Model incl. new BP" xfId="2765" xr:uid="{00000000-0005-0000-0000-0000D9030000}"/>
    <cellStyle name="—_GS_PNL_09 Valuation Model incl. new BP" xfId="2766" xr:uid="{00000000-0005-0000-0000-0000DA030000}"/>
    <cellStyle name="—_GS_PNL_13 Valuation Model incl. new BP" xfId="2767" xr:uid="{00000000-0005-0000-0000-0000DB030000}"/>
    <cellStyle name="—_GS_PNL_14 Valuation Model incl. new BP" xfId="2768" xr:uid="{00000000-0005-0000-0000-0000DC030000}"/>
    <cellStyle name="—_GS_PNL_15_ Clean LBO Model" xfId="2769" xr:uid="{00000000-0005-0000-0000-0000DD030000}"/>
    <cellStyle name="—_GS_PNL_20 Valuation Model incl. new BP" xfId="2770" xr:uid="{00000000-0005-0000-0000-0000DE030000}"/>
    <cellStyle name="—_GS_PNL_25 Valuation Model incl. new BP" xfId="2771" xr:uid="{00000000-0005-0000-0000-0000DF030000}"/>
    <cellStyle name="—_GS_PNL_33 Valuation Model incl. new BP" xfId="2772" xr:uid="{00000000-0005-0000-0000-0000E0030000}"/>
    <cellStyle name="—_GS_PNL_34 Valuation Model incl. new BP" xfId="2773" xr:uid="{00000000-0005-0000-0000-0000E1030000}"/>
    <cellStyle name="—_GS_PNL_37 Valuation Model incl. new BP" xfId="2774" xr:uid="{00000000-0005-0000-0000-0000E2030000}"/>
    <cellStyle name="—_GS_PNL_38 Valuation Model incl. new BP" xfId="2775" xr:uid="{00000000-0005-0000-0000-0000E3030000}"/>
    <cellStyle name="—_GS_PNL_39 Valuation Model incl. new BP" xfId="2776" xr:uid="{00000000-0005-0000-0000-0000E4030000}"/>
    <cellStyle name="—_GS_PNL_40 Valuation Model incl. new BP" xfId="2777" xr:uid="{00000000-0005-0000-0000-0000E5030000}"/>
    <cellStyle name="—_GS_PNL_44 Valuation Model incl. new BP" xfId="2778" xr:uid="{00000000-0005-0000-0000-0000E6030000}"/>
    <cellStyle name="—_GS_PNL_Global Wireless1" xfId="2779" xr:uid="{00000000-0005-0000-0000-0000E7030000}"/>
    <cellStyle name="—_GS_PNL_Global Wireless1_03 CSC May 20" xfId="2780" xr:uid="{00000000-0005-0000-0000-0000E8030000}"/>
    <cellStyle name="—_GS_PNL_Global Wireless1_03 CSC May 20_03_ Clean LBO Model" xfId="2781" xr:uid="{00000000-0005-0000-0000-0000E9030000}"/>
    <cellStyle name="—_GS_PNL_Global Wireless1_03 CSC May 20_05_ Clean LBO Model" xfId="2782" xr:uid="{00000000-0005-0000-0000-0000EA030000}"/>
    <cellStyle name="—_GS_PNL_Global Wireless1_03 CSC May 20_08 Valuation Model incl. new BP" xfId="2783" xr:uid="{00000000-0005-0000-0000-0000EB030000}"/>
    <cellStyle name="—_GS_PNL_Global Wireless1_03 CSC May 20_09 Valuation Model incl. new BP" xfId="2784" xr:uid="{00000000-0005-0000-0000-0000EC030000}"/>
    <cellStyle name="—_GS_PNL_Global Wireless1_03 CSC May 20_13 Valuation Model incl. new BP" xfId="2785" xr:uid="{00000000-0005-0000-0000-0000ED030000}"/>
    <cellStyle name="—_GS_PNL_Global Wireless1_03 CSC May 20_14 Valuation Model incl. new BP" xfId="2786" xr:uid="{00000000-0005-0000-0000-0000EE030000}"/>
    <cellStyle name="—_GS_PNL_Global Wireless1_03 CSC May 20_15_ Clean LBO Model" xfId="2787" xr:uid="{00000000-0005-0000-0000-0000EF030000}"/>
    <cellStyle name="—_GS_PNL_Global Wireless1_03 CSC May 20_20 Valuation Model incl. new BP" xfId="2788" xr:uid="{00000000-0005-0000-0000-0000F0030000}"/>
    <cellStyle name="—_GS_PNL_Global Wireless1_03 CSC May 20_25 Valuation Model incl. new BP" xfId="2789" xr:uid="{00000000-0005-0000-0000-0000F1030000}"/>
    <cellStyle name="—_GS_PNL_Global Wireless1_03 CSC May 20_33 Valuation Model incl. new BP" xfId="2790" xr:uid="{00000000-0005-0000-0000-0000F2030000}"/>
    <cellStyle name="—_GS_PNL_Global Wireless1_03 CSC May 20_34 Valuation Model incl. new BP" xfId="2791" xr:uid="{00000000-0005-0000-0000-0000F3030000}"/>
    <cellStyle name="—_GS_PNL_Global Wireless1_03 CSC May 20_37 Valuation Model incl. new BP" xfId="2792" xr:uid="{00000000-0005-0000-0000-0000F4030000}"/>
    <cellStyle name="—_GS_PNL_Global Wireless1_03 CSC May 20_38 Valuation Model incl. new BP" xfId="2793" xr:uid="{00000000-0005-0000-0000-0000F5030000}"/>
    <cellStyle name="—_GS_PNL_Global Wireless1_03 CSC May 20_39 Valuation Model incl. new BP" xfId="2794" xr:uid="{00000000-0005-0000-0000-0000F6030000}"/>
    <cellStyle name="—_GS_PNL_Global Wireless1_03 CSC May 20_40 Valuation Model incl. new BP" xfId="2795" xr:uid="{00000000-0005-0000-0000-0000F7030000}"/>
    <cellStyle name="—_GS_PNL_Global Wireless1_03 CSC May 20_44 Valuation Model incl. new BP" xfId="2796" xr:uid="{00000000-0005-0000-0000-0000F8030000}"/>
    <cellStyle name="—_GS_PNL_Global Wireless1_03_ Clean LBO Model" xfId="2797" xr:uid="{00000000-0005-0000-0000-0000F9030000}"/>
    <cellStyle name="—_GS_PNL_Global Wireless1_05_ Clean LBO Model" xfId="2798" xr:uid="{00000000-0005-0000-0000-0000FA030000}"/>
    <cellStyle name="—_GS_PNL_Global Wireless1_08 Valuation Model incl. new BP" xfId="2799" xr:uid="{00000000-0005-0000-0000-0000FB030000}"/>
    <cellStyle name="—_GS_PNL_Global Wireless1_09 Valuation Model incl. new BP" xfId="2800" xr:uid="{00000000-0005-0000-0000-0000FC030000}"/>
    <cellStyle name="—_GS_PNL_Global Wireless1_13 Valuation Model incl. new BP" xfId="2801" xr:uid="{00000000-0005-0000-0000-0000FD030000}"/>
    <cellStyle name="—_GS_PNL_Global Wireless1_14 Valuation Model incl. new BP" xfId="2802" xr:uid="{00000000-0005-0000-0000-0000FE030000}"/>
    <cellStyle name="—_GS_PNL_Global Wireless1_15_ Clean LBO Model" xfId="2803" xr:uid="{00000000-0005-0000-0000-0000FF030000}"/>
    <cellStyle name="—_GS_PNL_Global Wireless1_20 Valuation Model incl. new BP" xfId="2804" xr:uid="{00000000-0005-0000-0000-000000040000}"/>
    <cellStyle name="—_GS_PNL_Global Wireless1_25 Valuation Model incl. new BP" xfId="2805" xr:uid="{00000000-0005-0000-0000-000001040000}"/>
    <cellStyle name="—_GS_PNL_Global Wireless1_33 Valuation Model incl. new BP" xfId="2806" xr:uid="{00000000-0005-0000-0000-000002040000}"/>
    <cellStyle name="—_GS_PNL_Global Wireless1_34 Valuation Model incl. new BP" xfId="2807" xr:uid="{00000000-0005-0000-0000-000003040000}"/>
    <cellStyle name="—_GS_PNL_Global Wireless1_37 Valuation Model incl. new BP" xfId="2808" xr:uid="{00000000-0005-0000-0000-000004040000}"/>
    <cellStyle name="—_GS_PNL_Global Wireless1_38 Valuation Model incl. new BP" xfId="2809" xr:uid="{00000000-0005-0000-0000-000005040000}"/>
    <cellStyle name="—_GS_PNL_Global Wireless1_39 Valuation Model incl. new BP" xfId="2810" xr:uid="{00000000-0005-0000-0000-000006040000}"/>
    <cellStyle name="—_GS_PNL_Global Wireless1_40 Valuation Model incl. new BP" xfId="2811" xr:uid="{00000000-0005-0000-0000-000007040000}"/>
    <cellStyle name="—_GS_PNL_Global Wireless1_44 Valuation Model incl. new BP" xfId="2812" xr:uid="{00000000-0005-0000-0000-000008040000}"/>
    <cellStyle name="—_GS_PNL_Global Wireless1_CSC May 20" xfId="2813" xr:uid="{00000000-0005-0000-0000-000009040000}"/>
    <cellStyle name="—_GS_PNL_Global Wireless1_CSC May 20_03_ Clean LBO Model" xfId="2814" xr:uid="{00000000-0005-0000-0000-00000A040000}"/>
    <cellStyle name="—_GS_PNL_Global Wireless1_CSC May 20_05_ Clean LBO Model" xfId="2815" xr:uid="{00000000-0005-0000-0000-00000B040000}"/>
    <cellStyle name="—_GS_PNL_Global Wireless1_CSC May 20_08 Valuation Model incl. new BP" xfId="2816" xr:uid="{00000000-0005-0000-0000-00000C040000}"/>
    <cellStyle name="—_GS_PNL_Global Wireless1_CSC May 20_09 Valuation Model incl. new BP" xfId="2817" xr:uid="{00000000-0005-0000-0000-00000D040000}"/>
    <cellStyle name="—_GS_PNL_Global Wireless1_CSC May 20_13 Valuation Model incl. new BP" xfId="2818" xr:uid="{00000000-0005-0000-0000-00000E040000}"/>
    <cellStyle name="—_GS_PNL_Global Wireless1_CSC May 20_14 Valuation Model incl. new BP" xfId="2819" xr:uid="{00000000-0005-0000-0000-00000F040000}"/>
    <cellStyle name="—_GS_PNL_Global Wireless1_CSC May 20_15_ Clean LBO Model" xfId="2820" xr:uid="{00000000-0005-0000-0000-000010040000}"/>
    <cellStyle name="—_GS_PNL_Global Wireless1_CSC May 20_20 Valuation Model incl. new BP" xfId="2821" xr:uid="{00000000-0005-0000-0000-000011040000}"/>
    <cellStyle name="—_GS_PNL_Global Wireless1_CSC May 20_25 Valuation Model incl. new BP" xfId="2822" xr:uid="{00000000-0005-0000-0000-000012040000}"/>
    <cellStyle name="—_GS_PNL_Global Wireless1_CSC May 20_33 Valuation Model incl. new BP" xfId="2823" xr:uid="{00000000-0005-0000-0000-000013040000}"/>
    <cellStyle name="—_GS_PNL_Global Wireless1_CSC May 20_34 Valuation Model incl. new BP" xfId="2824" xr:uid="{00000000-0005-0000-0000-000014040000}"/>
    <cellStyle name="—_GS_PNL_Global Wireless1_CSC May 20_37 Valuation Model incl. new BP" xfId="2825" xr:uid="{00000000-0005-0000-0000-000015040000}"/>
    <cellStyle name="—_GS_PNL_Global Wireless1_CSC May 20_38 Valuation Model incl. new BP" xfId="2826" xr:uid="{00000000-0005-0000-0000-000016040000}"/>
    <cellStyle name="—_GS_PNL_Global Wireless1_CSC May 20_39 Valuation Model incl. new BP" xfId="2827" xr:uid="{00000000-0005-0000-0000-000017040000}"/>
    <cellStyle name="—_GS_PNL_Global Wireless1_CSC May 20_40 Valuation Model incl. new BP" xfId="2828" xr:uid="{00000000-0005-0000-0000-000018040000}"/>
    <cellStyle name="—_GS_PNL_Global Wireless1_CSC May 20_44 Valuation Model incl. new BP" xfId="2829" xr:uid="{00000000-0005-0000-0000-000019040000}"/>
    <cellStyle name=";;;" xfId="36" xr:uid="{00000000-0005-0000-0000-000044000000}"/>
    <cellStyle name="?? [0]_??" xfId="37" xr:uid="{00000000-0005-0000-0000-000045000000}"/>
    <cellStyle name="??_?.????" xfId="38" xr:uid="{00000000-0005-0000-0000-000046000000}"/>
    <cellStyle name="." xfId="34" xr:uid="{00000000-0005-0000-0000-000042000000}"/>
    <cellStyle name=".1" xfId="35" xr:uid="{00000000-0005-0000-0000-000043000000}"/>
    <cellStyle name="’Ê‰Ý [0.00]_GE 3 MINIMUM" xfId="452" xr:uid="{00000000-0005-0000-0000-000043080000}"/>
    <cellStyle name="’Ê‰Ý_GE 3 MINIMUM" xfId="453" xr:uid="{00000000-0005-0000-0000-000044080000}"/>
    <cellStyle name="******************************************" xfId="32" xr:uid="{00000000-0005-0000-0000-000040000000}"/>
    <cellStyle name="*TD" xfId="33" xr:uid="{00000000-0005-0000-0000-000041000000}"/>
    <cellStyle name="\" xfId="39" xr:uid="{00000000-0005-0000-0000-000047000000}"/>
    <cellStyle name="\_bluebirdacdil13" xfId="40" xr:uid="{00000000-0005-0000-0000-000048000000}"/>
    <cellStyle name="\_ecomps7w" xfId="41" xr:uid="{00000000-0005-0000-0000-000049000000}"/>
    <cellStyle name="\_equitycomps9" xfId="42" xr:uid="{00000000-0005-0000-0000-00004A000000}"/>
    <cellStyle name="\_houston Isabel" xfId="43" xr:uid="{00000000-0005-0000-0000-00004B000000}"/>
    <cellStyle name="\_hybrid2" xfId="44" xr:uid="{00000000-0005-0000-0000-00004C000000}"/>
    <cellStyle name="\_ITXCcomps" xfId="45" xr:uid="{00000000-0005-0000-0000-00004D000000}"/>
    <cellStyle name="\_newcomps16" xfId="46" xr:uid="{00000000-0005-0000-0000-00004E000000}"/>
    <cellStyle name="\_ravenpitch3" xfId="47" xr:uid="{00000000-0005-0000-0000-00004F000000}"/>
    <cellStyle name="#" xfId="10" xr:uid="{00000000-0005-0000-0000-000002000000}"/>
    <cellStyle name="#_Feeder" xfId="11" xr:uid="{00000000-0005-0000-0000-000003000000}"/>
    <cellStyle name="#_Feeder_Ratings Adj._FLAMINGO" xfId="1749" xr:uid="{00000000-0005-0000-0000-000004000000}"/>
    <cellStyle name="#_Gerresheimer_Bank_model_021205_final" xfId="12" xr:uid="{00000000-0005-0000-0000-000005000000}"/>
    <cellStyle name="#_M&amp;A Model" xfId="13" xr:uid="{00000000-0005-0000-0000-000006000000}"/>
    <cellStyle name="#_M&amp;A Model_Ratings Adj._FLAMINGO" xfId="1750" xr:uid="{00000000-0005-0000-0000-000007000000}"/>
    <cellStyle name="#_M&amp;A projections" xfId="14" xr:uid="{00000000-0005-0000-0000-000008000000}"/>
    <cellStyle name="#_M&amp;A projections_Ratings Adj._FLAMINGO" xfId="1751" xr:uid="{00000000-0005-0000-0000-000009000000}"/>
    <cellStyle name="#_Ratings Adj._FLAMINGO" xfId="1752" xr:uid="{00000000-0005-0000-0000-00000A000000}"/>
    <cellStyle name="%" xfId="21" xr:uid="{00000000-0005-0000-0000-000013000000}"/>
    <cellStyle name="% [2]" xfId="22" xr:uid="{00000000-0005-0000-0000-000014000000}"/>
    <cellStyle name="%_Blank LBO Model v15" xfId="24" xr:uid="{00000000-0005-0000-0000-000016000000}"/>
    <cellStyle name="%_Crib sheet" xfId="1755" xr:uid="{00000000-0005-0000-0000-000017000000}"/>
    <cellStyle name="%_Crib sheet_Covenants_draft_260412" xfId="1756" xr:uid="{00000000-0005-0000-0000-000018000000}"/>
    <cellStyle name="%_Feeder" xfId="25" xr:uid="{00000000-0005-0000-0000-000019000000}"/>
    <cellStyle name="%_George - LBO Model 3.1" xfId="26" xr:uid="{00000000-0005-0000-0000-00001A000000}"/>
    <cellStyle name="%_Head Office Pack - Draft 4" xfId="1757" xr:uid="{00000000-0005-0000-0000-00001B000000}"/>
    <cellStyle name="%_Head Office Pack - Draft 4_Covenants_draft_260412" xfId="1758" xr:uid="{00000000-0005-0000-0000-00001C000000}"/>
    <cellStyle name="%_Internal" xfId="1759" xr:uid="{00000000-0005-0000-0000-00001D000000}"/>
    <cellStyle name="%_Internal 1" xfId="1760" xr:uid="{00000000-0005-0000-0000-00001E000000}"/>
    <cellStyle name="%_Internal 1_Projections Pack" xfId="1761" xr:uid="{00000000-0005-0000-0000-00001F000000}"/>
    <cellStyle name="%_Internal 1_Projections Pack (TM)" xfId="1762" xr:uid="{00000000-0005-0000-0000-000020000000}"/>
    <cellStyle name="%_Internal 1_Quasi Rent Illustration" xfId="1763" xr:uid="{00000000-0005-0000-0000-000021000000}"/>
    <cellStyle name="%_Internal_Projections Pack" xfId="1764" xr:uid="{00000000-0005-0000-0000-000022000000}"/>
    <cellStyle name="%_Internal_Projections Pack (TM)" xfId="1765" xr:uid="{00000000-0005-0000-0000-000023000000}"/>
    <cellStyle name="%_Internal_Quasi Rent Illustration" xfId="1766" xr:uid="{00000000-0005-0000-0000-000024000000}"/>
    <cellStyle name="%_IT Budget 2011" xfId="1767" xr:uid="{00000000-0005-0000-0000-000025000000}"/>
    <cellStyle name="%_IT Budget Master 2011 - Draft V2 1 (2)" xfId="1768" xr:uid="{00000000-0005-0000-0000-000026000000}"/>
    <cellStyle name="%_Labour Benchmark - 17th Sept" xfId="1769" xr:uid="{00000000-0005-0000-0000-000027000000}"/>
    <cellStyle name="%_Labour Benchmark - 17th Sept_Covenants_draft_260412" xfId="1770" xr:uid="{00000000-0005-0000-0000-000028000000}"/>
    <cellStyle name="%_Labour Top Down vs Bottom Up" xfId="1771" xr:uid="{00000000-0005-0000-0000-000029000000}"/>
    <cellStyle name="%_Labour Top Down vs Bottom Up_Covenants_draft_260412" xfId="1772" xr:uid="{00000000-0005-0000-0000-00002A000000}"/>
    <cellStyle name="%_M&amp;A Model" xfId="27" xr:uid="{00000000-0005-0000-0000-00002B000000}"/>
    <cellStyle name="%_M&amp;A projections" xfId="28" xr:uid="{00000000-0005-0000-0000-00002C000000}"/>
    <cellStyle name="%_Marketing &amp; Product" xfId="1773" xr:uid="{00000000-0005-0000-0000-00002D000000}"/>
    <cellStyle name="%_Marketing Bridge" xfId="1774" xr:uid="{00000000-0005-0000-0000-00002E000000}"/>
    <cellStyle name="%_Marketing Bridge_Covenants_draft_260412" xfId="1775" xr:uid="{00000000-0005-0000-0000-00002F000000}"/>
    <cellStyle name="%_Marketing Bridge_Marketing &amp; Product" xfId="1776" xr:uid="{00000000-0005-0000-0000-000030000000}"/>
    <cellStyle name="%_Net Gain Review Pack - 28th Sept" xfId="1777" xr:uid="{00000000-0005-0000-0000-000031000000}"/>
    <cellStyle name="%_Page for Exec Pack" xfId="1778" xr:uid="{00000000-0005-0000-0000-000032000000}"/>
    <cellStyle name="%_PAR overlay" xfId="1779" xr:uid="{00000000-0005-0000-0000-000033000000}"/>
    <cellStyle name="%_PAR overlay_Projections Pack" xfId="1780" xr:uid="{00000000-0005-0000-0000-000034000000}"/>
    <cellStyle name="%_PAR overlay_Projections Pack (TM)" xfId="1781" xr:uid="{00000000-0005-0000-0000-000035000000}"/>
    <cellStyle name="%_PAR overlay_Quasi Rent Illustration" xfId="1782" xr:uid="{00000000-0005-0000-0000-000036000000}"/>
    <cellStyle name="%_Sceanrio 2 Update - Dec 2nd" xfId="1783" xr:uid="{00000000-0005-0000-0000-000037000000}"/>
    <cellStyle name="%_Sceanrio 2 Update - Dec 2nd_Projections Pack" xfId="1784" xr:uid="{00000000-0005-0000-0000-000038000000}"/>
    <cellStyle name="%_Sceanrio 2 Update - Dec 2nd_Projections Pack (TM)" xfId="1785" xr:uid="{00000000-0005-0000-0000-000039000000}"/>
    <cellStyle name="%_Sceanrio 2 Update - Dec 2nd_Quasi Rent Illustration" xfId="1786" xr:uid="{00000000-0005-0000-0000-00003A000000}"/>
    <cellStyle name="%_Sheet1" xfId="1787" xr:uid="{00000000-0005-0000-0000-00003B000000}"/>
    <cellStyle name="%.00" xfId="23" xr:uid="{00000000-0005-0000-0000-000015000000}"/>
    <cellStyle name="%0" xfId="29" xr:uid="{00000000-0005-0000-0000-00003C000000}"/>
    <cellStyle name="%1" xfId="30" xr:uid="{00000000-0005-0000-0000-00003D000000}"/>
    <cellStyle name="%2" xfId="31" xr:uid="{00000000-0005-0000-0000-00003E000000}"/>
    <cellStyle name="%input" xfId="3629" xr:uid="{00000000-0005-0000-0000-00003F000000}"/>
    <cellStyle name="•W_GE 3 MINIMUM" xfId="477" xr:uid="{00000000-0005-0000-0000-000064080000}"/>
    <cellStyle name="•W€_GE 3 MINIMUM" xfId="478" xr:uid="{00000000-0005-0000-0000-000063080000}"/>
    <cellStyle name="+" xfId="2248" xr:uid="{00000000-0005-0000-0000-00005E080000}"/>
    <cellStyle name="+_Quasi Rent Illustration" xfId="2249" xr:uid="{00000000-0005-0000-0000-00005F080000}"/>
    <cellStyle name="+_YLC" xfId="2250" xr:uid="{00000000-0005-0000-0000-000060080000}"/>
    <cellStyle name="=C:\WINNT\SYSTEM32\COMMAND.COM" xfId="3633" xr:uid="{00000000-0005-0000-0000-000061080000}"/>
    <cellStyle name="=C:\WINNT35\SYSTEM32\COMMAND.COM" xfId="454" xr:uid="{00000000-0005-0000-0000-000062080000}"/>
    <cellStyle name="¢" xfId="455" xr:uid="{00000000-0005-0000-0000-000045080000}"/>
    <cellStyle name="¢ Currency [1]" xfId="456" xr:uid="{00000000-0005-0000-0000-000046080000}"/>
    <cellStyle name="¢ Currency [2]" xfId="457" xr:uid="{00000000-0005-0000-0000-000047080000}"/>
    <cellStyle name="¢ Currency [3]" xfId="458" xr:uid="{00000000-0005-0000-0000-000048080000}"/>
    <cellStyle name="¢_Feeder" xfId="459" xr:uid="{00000000-0005-0000-0000-000049080000}"/>
    <cellStyle name="¢_M&amp;A Model" xfId="460" xr:uid="{00000000-0005-0000-0000-00004A080000}"/>
    <cellStyle name="¢_temp templates2" xfId="461" xr:uid="{00000000-0005-0000-0000-00004B080000}"/>
    <cellStyle name="$" xfId="15" xr:uid="{00000000-0005-0000-0000-00000B000000}"/>
    <cellStyle name="$ &amp; ¢" xfId="1753" xr:uid="{00000000-0005-0000-0000-00000C000000}"/>
    <cellStyle name="$ Currency" xfId="16" xr:uid="{00000000-0005-0000-0000-00000D000000}"/>
    <cellStyle name="$_Ipsen Act" xfId="1754" xr:uid="{00000000-0005-0000-0000-00000E000000}"/>
    <cellStyle name="$0" xfId="17" xr:uid="{00000000-0005-0000-0000-00000F000000}"/>
    <cellStyle name="$1" xfId="18" xr:uid="{00000000-0005-0000-0000-000010000000}"/>
    <cellStyle name="$2" xfId="19" xr:uid="{00000000-0005-0000-0000-000011000000}"/>
    <cellStyle name="$m" xfId="20" xr:uid="{00000000-0005-0000-0000-000012000000}"/>
    <cellStyle name="£" xfId="2246" xr:uid="{00000000-0005-0000-0000-00004C080000}"/>
    <cellStyle name="£ BP" xfId="462" xr:uid="{00000000-0005-0000-0000-00004D080000}"/>
    <cellStyle name="£ Currency" xfId="463" xr:uid="{00000000-0005-0000-0000-00004E080000}"/>
    <cellStyle name="£ Currency [0]" xfId="464" xr:uid="{00000000-0005-0000-0000-00004F080000}"/>
    <cellStyle name="£ Currency [1]" xfId="465" xr:uid="{00000000-0005-0000-0000-000050080000}"/>
    <cellStyle name="£ Currency [2]" xfId="466" xr:uid="{00000000-0005-0000-0000-000051080000}"/>
    <cellStyle name="£0" xfId="467" xr:uid="{00000000-0005-0000-0000-000052080000}"/>
    <cellStyle name="£1" xfId="468" xr:uid="{00000000-0005-0000-0000-000053080000}"/>
    <cellStyle name="£2" xfId="469" xr:uid="{00000000-0005-0000-0000-000054080000}"/>
    <cellStyle name="£Currency [0]" xfId="470" xr:uid="{00000000-0005-0000-0000-000055080000}"/>
    <cellStyle name="£Currency [1]" xfId="471" xr:uid="{00000000-0005-0000-0000-000056080000}"/>
    <cellStyle name="£Currency [2]" xfId="472" xr:uid="{00000000-0005-0000-0000-000057080000}"/>
    <cellStyle name="£Currency [p]" xfId="473" xr:uid="{00000000-0005-0000-0000-000058080000}"/>
    <cellStyle name="£Currency [p2]" xfId="474" xr:uid="{00000000-0005-0000-0000-000059080000}"/>
    <cellStyle name="£Pounds" xfId="475" xr:uid="{00000000-0005-0000-0000-00005A080000}"/>
    <cellStyle name="¥ JY" xfId="476" xr:uid="{00000000-0005-0000-0000-00005B080000}"/>
    <cellStyle name="€" xfId="2247" xr:uid="{00000000-0005-0000-0000-00005C080000}"/>
    <cellStyle name="€ Currency" xfId="479" xr:uid="{00000000-0005-0000-0000-00005D080000}"/>
    <cellStyle name="0" xfId="480" xr:uid="{00000000-0005-0000-0000-000065080000}"/>
    <cellStyle name="0_BP2" xfId="3378" xr:uid="{00000000-0005-0000-0000-00006F080000}"/>
    <cellStyle name="0_Bullet model 122_temp templates2" xfId="490" xr:uid="{00000000-0005-0000-0000-000070080000}"/>
    <cellStyle name="0_Grandvision_LBO2" xfId="491" xr:uid="{00000000-0005-0000-0000-000071080000}"/>
    <cellStyle name="0_Proforma Model 100701 v.5" xfId="492" xr:uid="{00000000-0005-0000-0000-000072080000}"/>
    <cellStyle name="0,0_x000d__x000a_NA_x000d__x000a_" xfId="482" xr:uid="{00000000-0005-0000-0000-000067080000}"/>
    <cellStyle name="0.0" xfId="483" xr:uid="{00000000-0005-0000-0000-000068080000}"/>
    <cellStyle name="0.0 x" xfId="484" xr:uid="{00000000-0005-0000-0000-000069080000}"/>
    <cellStyle name="0.0_temp templates2" xfId="486" xr:uid="{00000000-0005-0000-0000-00006B080000}"/>
    <cellStyle name="0.0%" xfId="485" xr:uid="{00000000-0005-0000-0000-00006A080000}"/>
    <cellStyle name="0.00" xfId="487" xr:uid="{00000000-0005-0000-0000-00006C080000}"/>
    <cellStyle name="0.00%" xfId="488" xr:uid="{00000000-0005-0000-0000-00006D080000}"/>
    <cellStyle name="0.0x" xfId="489" xr:uid="{00000000-0005-0000-0000-00006E080000}"/>
    <cellStyle name="0%" xfId="481" xr:uid="{00000000-0005-0000-0000-000066080000}"/>
    <cellStyle name="000" xfId="493" xr:uid="{00000000-0005-0000-0000-000073080000}"/>
    <cellStyle name="0000" xfId="494" xr:uid="{00000000-0005-0000-0000-000074080000}"/>
    <cellStyle name="0x" xfId="495" xr:uid="{00000000-0005-0000-0000-000075080000}"/>
    <cellStyle name="1 decimal" xfId="3379" xr:uid="{00000000-0005-0000-0000-000076080000}"/>
    <cellStyle name="1_HardCode" xfId="3634" xr:uid="{00000000-0005-0000-0000-00007A080000}"/>
    <cellStyle name="1,000" xfId="3380" xr:uid="{00000000-0005-0000-0000-000077080000}"/>
    <cellStyle name="1,000x" xfId="3381" xr:uid="{00000000-0005-0000-0000-000078080000}"/>
    <cellStyle name="1,comma" xfId="496" xr:uid="{00000000-0005-0000-0000-000079080000}"/>
    <cellStyle name="2" xfId="497" xr:uid="{00000000-0005-0000-0000-00007B080000}"/>
    <cellStyle name="2 decimal" xfId="3382" xr:uid="{00000000-0005-0000-0000-00007C080000}"/>
    <cellStyle name="2 Decimals" xfId="3383" xr:uid="{00000000-0005-0000-0000-00007D080000}"/>
    <cellStyle name="2_OtherSheet" xfId="3635" xr:uid="{00000000-0005-0000-0000-00007E080000}"/>
    <cellStyle name="20% - Accent1 2" xfId="3384" xr:uid="{00000000-0005-0000-0000-00007F080000}"/>
    <cellStyle name="20% - Accent1 2 2" xfId="3385" xr:uid="{00000000-0005-0000-0000-000080080000}"/>
    <cellStyle name="20% - Accent1 3" xfId="3386" xr:uid="{00000000-0005-0000-0000-000081080000}"/>
    <cellStyle name="20% - Accent1 4" xfId="3387" xr:uid="{00000000-0005-0000-0000-000082080000}"/>
    <cellStyle name="20% - Accent1 5" xfId="3388" xr:uid="{00000000-0005-0000-0000-000083080000}"/>
    <cellStyle name="20% - Accent2 2" xfId="3389" xr:uid="{00000000-0005-0000-0000-000084080000}"/>
    <cellStyle name="20% - Accent2 2 2" xfId="3390" xr:uid="{00000000-0005-0000-0000-000085080000}"/>
    <cellStyle name="20% - Accent2 3" xfId="3391" xr:uid="{00000000-0005-0000-0000-000086080000}"/>
    <cellStyle name="20% - Accent2 4" xfId="3392" xr:uid="{00000000-0005-0000-0000-000087080000}"/>
    <cellStyle name="20% - Accent2 5" xfId="3393" xr:uid="{00000000-0005-0000-0000-000088080000}"/>
    <cellStyle name="20% - Accent3 2" xfId="3394" xr:uid="{00000000-0005-0000-0000-000089080000}"/>
    <cellStyle name="20% - Accent3 2 2" xfId="3395" xr:uid="{00000000-0005-0000-0000-00008A080000}"/>
    <cellStyle name="20% - Accent3 3" xfId="3396" xr:uid="{00000000-0005-0000-0000-00008B080000}"/>
    <cellStyle name="20% - Accent3 4" xfId="3397" xr:uid="{00000000-0005-0000-0000-00008C080000}"/>
    <cellStyle name="20% - Accent3 5" xfId="3398" xr:uid="{00000000-0005-0000-0000-00008D080000}"/>
    <cellStyle name="20% - Accent4 2" xfId="3399" xr:uid="{00000000-0005-0000-0000-00008E080000}"/>
    <cellStyle name="20% - Accent4 2 2" xfId="3400" xr:uid="{00000000-0005-0000-0000-00008F080000}"/>
    <cellStyle name="20% - Accent4 3" xfId="3401" xr:uid="{00000000-0005-0000-0000-000090080000}"/>
    <cellStyle name="20% - Accent4 4" xfId="3402" xr:uid="{00000000-0005-0000-0000-000091080000}"/>
    <cellStyle name="20% - Accent4 5" xfId="3403" xr:uid="{00000000-0005-0000-0000-000092080000}"/>
    <cellStyle name="20% - Accent5 2" xfId="3404" xr:uid="{00000000-0005-0000-0000-000093080000}"/>
    <cellStyle name="20% - Accent5 2 2" xfId="3405" xr:uid="{00000000-0005-0000-0000-000094080000}"/>
    <cellStyle name="20% - Accent5 3" xfId="3406" xr:uid="{00000000-0005-0000-0000-000095080000}"/>
    <cellStyle name="20% - Accent5 4" xfId="3407" xr:uid="{00000000-0005-0000-0000-000096080000}"/>
    <cellStyle name="20% - Accent5 5" xfId="3408" xr:uid="{00000000-0005-0000-0000-000097080000}"/>
    <cellStyle name="20% - Accent6 2" xfId="3409" xr:uid="{00000000-0005-0000-0000-000098080000}"/>
    <cellStyle name="20% - Accent6 2 2" xfId="3410" xr:uid="{00000000-0005-0000-0000-000099080000}"/>
    <cellStyle name="20% - Accent6 3" xfId="3411" xr:uid="{00000000-0005-0000-0000-00009A080000}"/>
    <cellStyle name="20% - Accent6 4" xfId="3412" xr:uid="{00000000-0005-0000-0000-00009B080000}"/>
    <cellStyle name="20% - Accent6 5" xfId="3413" xr:uid="{00000000-0005-0000-0000-00009C080000}"/>
    <cellStyle name="3" xfId="2251" xr:uid="{00000000-0005-0000-0000-00009D080000}"/>
    <cellStyle name="3 Decimals" xfId="3414" xr:uid="{00000000-0005-0000-0000-00009E080000}"/>
    <cellStyle name="3_Quasi Rent Illustration" xfId="2252" xr:uid="{00000000-0005-0000-0000-00009F080000}"/>
    <cellStyle name="3_YLC" xfId="2253" xr:uid="{00000000-0005-0000-0000-0000A0080000}"/>
    <cellStyle name="40% - Accent1 2" xfId="3415" xr:uid="{00000000-0005-0000-0000-0000A1080000}"/>
    <cellStyle name="40% - Accent1 2 2" xfId="3416" xr:uid="{00000000-0005-0000-0000-0000A2080000}"/>
    <cellStyle name="40% - Accent1 3" xfId="3417" xr:uid="{00000000-0005-0000-0000-0000A3080000}"/>
    <cellStyle name="40% - Accent1 4" xfId="3418" xr:uid="{00000000-0005-0000-0000-0000A4080000}"/>
    <cellStyle name="40% - Accent1 5" xfId="3419" xr:uid="{00000000-0005-0000-0000-0000A5080000}"/>
    <cellStyle name="40% - Accent2 2" xfId="3420" xr:uid="{00000000-0005-0000-0000-0000A6080000}"/>
    <cellStyle name="40% - Accent2 2 2" xfId="3421" xr:uid="{00000000-0005-0000-0000-0000A7080000}"/>
    <cellStyle name="40% - Accent2 3" xfId="3422" xr:uid="{00000000-0005-0000-0000-0000A8080000}"/>
    <cellStyle name="40% - Accent2 4" xfId="3423" xr:uid="{00000000-0005-0000-0000-0000A9080000}"/>
    <cellStyle name="40% - Accent2 5" xfId="3424" xr:uid="{00000000-0005-0000-0000-0000AA080000}"/>
    <cellStyle name="40% - Accent3 2" xfId="3425" xr:uid="{00000000-0005-0000-0000-0000AB080000}"/>
    <cellStyle name="40% - Accent3 2 2" xfId="3426" xr:uid="{00000000-0005-0000-0000-0000AC080000}"/>
    <cellStyle name="40% - Accent3 3" xfId="3427" xr:uid="{00000000-0005-0000-0000-0000AD080000}"/>
    <cellStyle name="40% - Accent3 4" xfId="3428" xr:uid="{00000000-0005-0000-0000-0000AE080000}"/>
    <cellStyle name="40% - Accent3 5" xfId="3429" xr:uid="{00000000-0005-0000-0000-0000AF080000}"/>
    <cellStyle name="40% - Accent4 2" xfId="3430" xr:uid="{00000000-0005-0000-0000-0000B0080000}"/>
    <cellStyle name="40% - Accent4 2 2" xfId="3431" xr:uid="{00000000-0005-0000-0000-0000B1080000}"/>
    <cellStyle name="40% - Accent4 3" xfId="3432" xr:uid="{00000000-0005-0000-0000-0000B2080000}"/>
    <cellStyle name="40% - Accent4 4" xfId="3433" xr:uid="{00000000-0005-0000-0000-0000B3080000}"/>
    <cellStyle name="40% - Accent4 5" xfId="3434" xr:uid="{00000000-0005-0000-0000-0000B4080000}"/>
    <cellStyle name="40% - Accent5 2" xfId="3435" xr:uid="{00000000-0005-0000-0000-0000B5080000}"/>
    <cellStyle name="40% - Accent5 2 2" xfId="3436" xr:uid="{00000000-0005-0000-0000-0000B6080000}"/>
    <cellStyle name="40% - Accent5 3" xfId="3437" xr:uid="{00000000-0005-0000-0000-0000B7080000}"/>
    <cellStyle name="40% - Accent5 4" xfId="3438" xr:uid="{00000000-0005-0000-0000-0000B8080000}"/>
    <cellStyle name="40% - Accent5 5" xfId="3439" xr:uid="{00000000-0005-0000-0000-0000B9080000}"/>
    <cellStyle name="40% - Accent6 2" xfId="3440" xr:uid="{00000000-0005-0000-0000-0000BA080000}"/>
    <cellStyle name="40% - Accent6 2 2" xfId="3441" xr:uid="{00000000-0005-0000-0000-0000BB080000}"/>
    <cellStyle name="40% - Accent6 3" xfId="3442" xr:uid="{00000000-0005-0000-0000-0000BC080000}"/>
    <cellStyle name="40% - Accent6 4" xfId="3443" xr:uid="{00000000-0005-0000-0000-0000BD080000}"/>
    <cellStyle name="40% - Accent6 5" xfId="3444" xr:uid="{00000000-0005-0000-0000-0000BE080000}"/>
    <cellStyle name="5_Percent" xfId="3636" xr:uid="{00000000-0005-0000-0000-0000BF080000}"/>
    <cellStyle name="5_Percent 5" xfId="3625" xr:uid="{00000000-0005-0000-0000-0000C0080000}"/>
    <cellStyle name="60% - Accent1 2" xfId="3445" xr:uid="{00000000-0005-0000-0000-0000C1080000}"/>
    <cellStyle name="60% - Accent1 2 2" xfId="3446" xr:uid="{00000000-0005-0000-0000-0000C2080000}"/>
    <cellStyle name="60% - Accent2 2" xfId="3447" xr:uid="{00000000-0005-0000-0000-0000C3080000}"/>
    <cellStyle name="60% - Accent2 2 2" xfId="3448" xr:uid="{00000000-0005-0000-0000-0000C4080000}"/>
    <cellStyle name="60% - Accent3 2" xfId="3449" xr:uid="{00000000-0005-0000-0000-0000C5080000}"/>
    <cellStyle name="60% - Accent3 2 2" xfId="3450" xr:uid="{00000000-0005-0000-0000-0000C6080000}"/>
    <cellStyle name="60% - Accent4 2" xfId="3451" xr:uid="{00000000-0005-0000-0000-0000C7080000}"/>
    <cellStyle name="60% - Accent4 2 2" xfId="3452" xr:uid="{00000000-0005-0000-0000-0000C8080000}"/>
    <cellStyle name="60% - Accent5 2" xfId="3453" xr:uid="{00000000-0005-0000-0000-0000C9080000}"/>
    <cellStyle name="60% - Accent5 2 2" xfId="3454" xr:uid="{00000000-0005-0000-0000-0000CA080000}"/>
    <cellStyle name="60% - Accent6 2" xfId="3455" xr:uid="{00000000-0005-0000-0000-0000CB080000}"/>
    <cellStyle name="60% - Accent6 2 2" xfId="3456" xr:uid="{00000000-0005-0000-0000-0000CC080000}"/>
    <cellStyle name="752131" xfId="498" xr:uid="{00000000-0005-0000-0000-0000CD080000}"/>
    <cellStyle name="a" xfId="6" xr:uid="{00000000-0005-0000-0000-0000CE080000}"/>
    <cellStyle name="ac" xfId="499" xr:uid="{00000000-0005-0000-0000-0000CF080000}"/>
    <cellStyle name="Accent1 2" xfId="3457" xr:uid="{00000000-0005-0000-0000-0000D0080000}"/>
    <cellStyle name="Accent1 2 2" xfId="3458" xr:uid="{00000000-0005-0000-0000-0000D1080000}"/>
    <cellStyle name="Accent2 2" xfId="3459" xr:uid="{00000000-0005-0000-0000-0000D2080000}"/>
    <cellStyle name="Accent2 2 2" xfId="3460" xr:uid="{00000000-0005-0000-0000-0000D3080000}"/>
    <cellStyle name="Accent3 2" xfId="3461" xr:uid="{00000000-0005-0000-0000-0000D4080000}"/>
    <cellStyle name="Accent3 2 2" xfId="3462" xr:uid="{00000000-0005-0000-0000-0000D5080000}"/>
    <cellStyle name="Accent4 2" xfId="3463" xr:uid="{00000000-0005-0000-0000-0000D6080000}"/>
    <cellStyle name="Accent4 2 2" xfId="3464" xr:uid="{00000000-0005-0000-0000-0000D7080000}"/>
    <cellStyle name="Accent5 2" xfId="3465" xr:uid="{00000000-0005-0000-0000-0000D8080000}"/>
    <cellStyle name="Accent5 2 2" xfId="3466" xr:uid="{00000000-0005-0000-0000-0000D9080000}"/>
    <cellStyle name="Accent6 2" xfId="3467" xr:uid="{00000000-0005-0000-0000-0000DA080000}"/>
    <cellStyle name="Accent6 2 2" xfId="3468" xr:uid="{00000000-0005-0000-0000-0000DB080000}"/>
    <cellStyle name="acct" xfId="3469" xr:uid="{00000000-0005-0000-0000-0000DC080000}"/>
    <cellStyle name="Acct 0" xfId="500" xr:uid="{00000000-0005-0000-0000-0000DD080000}"/>
    <cellStyle name="Acct 1" xfId="501" xr:uid="{00000000-0005-0000-0000-0000DE080000}"/>
    <cellStyle name="Acct 1,$" xfId="502" xr:uid="{00000000-0005-0000-0000-0000DF080000}"/>
    <cellStyle name="Acquisition" xfId="503" xr:uid="{00000000-0005-0000-0000-0000E1080000}"/>
    <cellStyle name="act" xfId="3470" xr:uid="{00000000-0005-0000-0000-0000E2080000}"/>
    <cellStyle name="Actual data" xfId="3471" xr:uid="{00000000-0005-0000-0000-0000E3080000}"/>
    <cellStyle name="Actual Date" xfId="504" xr:uid="{00000000-0005-0000-0000-0000E4080000}"/>
    <cellStyle name="Actual year" xfId="3472" xr:uid="{00000000-0005-0000-0000-0000E5080000}"/>
    <cellStyle name="Actuals Cells" xfId="3473" xr:uid="{00000000-0005-0000-0000-0000E6080000}"/>
    <cellStyle name="AFE" xfId="505" xr:uid="{00000000-0005-0000-0000-0000E7080000}"/>
    <cellStyle name="aht" xfId="506" xr:uid="{00000000-0005-0000-0000-0000E8080000}"/>
    <cellStyle name="AJHCustom" xfId="3474" xr:uid="{00000000-0005-0000-0000-0000E9080000}"/>
    <cellStyle name="Año" xfId="507" xr:uid="{00000000-0005-0000-0000-0000EA080000}"/>
    <cellStyle name="ARaging" xfId="508" xr:uid="{00000000-0005-0000-0000-0000EB080000}"/>
    <cellStyle name="args.style" xfId="1745" xr:uid="{00000000-0005-0000-0000-0000EC080000}"/>
    <cellStyle name="arial" xfId="3475" xr:uid="{00000000-0005-0000-0000-0000ED080000}"/>
    <cellStyle name="Arial 10" xfId="509" xr:uid="{00000000-0005-0000-0000-0000EE080000}"/>
    <cellStyle name="Arial 12" xfId="510" xr:uid="{00000000-0005-0000-0000-0000EF080000}"/>
    <cellStyle name="Arial6Bold" xfId="3476" xr:uid="{00000000-0005-0000-0000-0000F0080000}"/>
    <cellStyle name="Arial8Bold" xfId="3477" xr:uid="{00000000-0005-0000-0000-0000F1080000}"/>
    <cellStyle name="Arial8Italic" xfId="3478" xr:uid="{00000000-0005-0000-0000-0000F2080000}"/>
    <cellStyle name="ArialNormal" xfId="511" xr:uid="{00000000-0005-0000-0000-0000F3080000}"/>
    <cellStyle name="As_Reported" xfId="3479" xr:uid="{00000000-0005-0000-0000-0000F4080000}"/>
    <cellStyle name="AsNorm" xfId="512" xr:uid="{00000000-0005-0000-0000-0000F5080000}"/>
    <cellStyle name="AsPer" xfId="513" xr:uid="{00000000-0005-0000-0000-0000F6080000}"/>
    <cellStyle name="Ass_perc" xfId="514" xr:uid="{00000000-0005-0000-0000-0000F7080000}"/>
    <cellStyle name="Assum 0" xfId="515" xr:uid="{00000000-0005-0000-0000-0000F8080000}"/>
    <cellStyle name="Assum 0 2" xfId="3655" xr:uid="{00000000-0005-0000-0000-0000F9080000}"/>
    <cellStyle name="Assum 1,%" xfId="517" xr:uid="{00000000-0005-0000-0000-0000FC080000}"/>
    <cellStyle name="Assum 1,% 2" xfId="3657" xr:uid="{00000000-0005-0000-0000-0000FD080000}"/>
    <cellStyle name="Assum 1,$" xfId="516" xr:uid="{00000000-0005-0000-0000-0000FA080000}"/>
    <cellStyle name="Assum 1,$ 2" xfId="3656" xr:uid="{00000000-0005-0000-0000-0000FB080000}"/>
    <cellStyle name="Assumption" xfId="518" xr:uid="{00000000-0005-0000-0000-0000FE080000}"/>
    <cellStyle name="Assumptions" xfId="519" xr:uid="{00000000-0005-0000-0000-0000FF080000}"/>
    <cellStyle name="Assumptions % 0 dp" xfId="520" xr:uid="{00000000-0005-0000-0000-000000090000}"/>
    <cellStyle name="Assumptions % 1 dp" xfId="521" xr:uid="{00000000-0005-0000-0000-000001090000}"/>
    <cellStyle name="Assumptions % 2 dp" xfId="522" xr:uid="{00000000-0005-0000-0000-000002090000}"/>
    <cellStyle name="Assumptions % 3 dp" xfId="523" xr:uid="{00000000-0005-0000-0000-000003090000}"/>
    <cellStyle name="Assumptions 0 dp" xfId="524" xr:uid="{00000000-0005-0000-0000-000004090000}"/>
    <cellStyle name="Assumptions 1 dp" xfId="525" xr:uid="{00000000-0005-0000-0000-000005090000}"/>
    <cellStyle name="Assumptions 2 dp" xfId="526" xr:uid="{00000000-0005-0000-0000-000006090000}"/>
    <cellStyle name="Assumptions 3 dp" xfId="527" xr:uid="{00000000-0005-0000-0000-000007090000}"/>
    <cellStyle name="Assumptions x 1 dp" xfId="528" xr:uid="{00000000-0005-0000-0000-000008090000}"/>
    <cellStyle name="Assumptions x 2 dp" xfId="529" xr:uid="{00000000-0005-0000-0000-000009090000}"/>
    <cellStyle name="ast" xfId="530" xr:uid="{00000000-0005-0000-0000-00000A090000}"/>
    <cellStyle name="at" xfId="531" xr:uid="{00000000-0005-0000-0000-00000B090000}"/>
    <cellStyle name="Attention" xfId="532" xr:uid="{00000000-0005-0000-0000-00000C090000}"/>
    <cellStyle name="Awaiting LAS" xfId="3480" xr:uid="{00000000-0005-0000-0000-00000D090000}"/>
    <cellStyle name="b" xfId="533" xr:uid="{00000000-0005-0000-0000-00000E090000}"/>
    <cellStyle name="b_Eagle Bear model v8" xfId="540" xr:uid="{00000000-0005-0000-0000-000015090000}"/>
    <cellStyle name="b_Feeder" xfId="541" xr:uid="{00000000-0005-0000-0000-000016090000}"/>
    <cellStyle name="b_GKN_FNM model v3" xfId="542" xr:uid="{00000000-0005-0000-0000-000017090000}"/>
    <cellStyle name="b_GKN_FNM model v3 2" xfId="3658" xr:uid="{00000000-0005-0000-0000-000018090000}"/>
    <cellStyle name="b_Impress - Shareholder returns - JPM Apr 26" xfId="543" xr:uid="{00000000-0005-0000-0000-000019090000}"/>
    <cellStyle name="b_M&amp;A Model" xfId="544" xr:uid="{00000000-0005-0000-0000-00001A090000}"/>
    <cellStyle name="b_M&amp;A projections" xfId="545" xr:uid="{00000000-0005-0000-0000-00001B090000}"/>
    <cellStyle name="b_Mivisa DCF v1" xfId="546" xr:uid="{00000000-0005-0000-0000-00001C090000}"/>
    <cellStyle name="b_Project Lucy model v40 160305" xfId="8" xr:uid="{00000000-0005-0000-0000-00001D090000}"/>
    <cellStyle name="b_Project Lucy model v40 160305 2" xfId="2254" xr:uid="{00000000-0005-0000-0000-00001E090000}"/>
    <cellStyle name="b_Project Lucy model v40 160305 2 2" xfId="3713" xr:uid="{00000000-0005-0000-0000-00001F090000}"/>
    <cellStyle name="b_Project Lucy model v40 160305 3" xfId="3644" xr:uid="{00000000-0005-0000-0000-000020090000}"/>
    <cellStyle name="b_Project Lucy model v40 160305_Gondola Debt &amp; Valuation Model - 041109" xfId="1688" xr:uid="{00000000-0005-0000-0000-000021090000}"/>
    <cellStyle name="b_Project Lucy model v40 160305_Gondola Debt &amp; Valuation Model - 041109 2" xfId="3700" xr:uid="{00000000-0005-0000-0000-000022090000}"/>
    <cellStyle name="b%0" xfId="537" xr:uid="{00000000-0005-0000-0000-000012090000}"/>
    <cellStyle name="b%1" xfId="538" xr:uid="{00000000-0005-0000-0000-000013090000}"/>
    <cellStyle name="b%2" xfId="539" xr:uid="{00000000-0005-0000-0000-000014090000}"/>
    <cellStyle name="b$0" xfId="534" xr:uid="{00000000-0005-0000-0000-00000F090000}"/>
    <cellStyle name="b$1" xfId="535" xr:uid="{00000000-0005-0000-0000-000010090000}"/>
    <cellStyle name="b$2" xfId="536" xr:uid="{00000000-0005-0000-0000-000011090000}"/>
    <cellStyle name="b£0" xfId="547" xr:uid="{00000000-0005-0000-0000-000023090000}"/>
    <cellStyle name="b£1" xfId="548" xr:uid="{00000000-0005-0000-0000-000024090000}"/>
    <cellStyle name="b£2" xfId="549" xr:uid="{00000000-0005-0000-0000-000025090000}"/>
    <cellStyle name="b0" xfId="550" xr:uid="{00000000-0005-0000-0000-000026090000}"/>
    <cellStyle name="b09" xfId="551" xr:uid="{00000000-0005-0000-0000-000027090000}"/>
    <cellStyle name="b1" xfId="552" xr:uid="{00000000-0005-0000-0000-000028090000}"/>
    <cellStyle name="b2" xfId="553" xr:uid="{00000000-0005-0000-0000-000029090000}"/>
    <cellStyle name="Bad 2" xfId="3481" xr:uid="{00000000-0005-0000-0000-00002A090000}"/>
    <cellStyle name="Bad 2 2" xfId="3482" xr:uid="{00000000-0005-0000-0000-00002B090000}"/>
    <cellStyle name="BalanceSheet" xfId="554" xr:uid="{00000000-0005-0000-0000-00002C090000}"/>
    <cellStyle name="Banner" xfId="3483" xr:uid="{00000000-0005-0000-0000-00002D090000}"/>
    <cellStyle name="Basic" xfId="555" xr:uid="{00000000-0005-0000-0000-00002E090000}"/>
    <cellStyle name="Basis points" xfId="556" xr:uid="{00000000-0005-0000-0000-00002F090000}"/>
    <cellStyle name="bbox" xfId="3484" xr:uid="{00000000-0005-0000-0000-000030090000}"/>
    <cellStyle name="Besuchter Hyperlink_Key assumptions GX companies" xfId="557" xr:uid="{00000000-0005-0000-0000-000031090000}"/>
    <cellStyle name="Billion" xfId="558" xr:uid="{00000000-0005-0000-0000-000032090000}"/>
    <cellStyle name="bjla" xfId="559" xr:uid="{00000000-0005-0000-0000-000033090000}"/>
    <cellStyle name="bl" xfId="560" xr:uid="{00000000-0005-0000-0000-000034090000}"/>
    <cellStyle name="black" xfId="561" xr:uid="{00000000-0005-0000-0000-000035090000}"/>
    <cellStyle name="Black block" xfId="562" xr:uid="{00000000-0005-0000-0000-000036090000}"/>
    <cellStyle name="Black Text" xfId="563" xr:uid="{00000000-0005-0000-0000-000037090000}"/>
    <cellStyle name="Black Text (No Wrap)" xfId="564" xr:uid="{00000000-0005-0000-0000-000038090000}"/>
    <cellStyle name="Black_Feeder" xfId="565" xr:uid="{00000000-0005-0000-0000-000039090000}"/>
    <cellStyle name="BlackStrike" xfId="566" xr:uid="{00000000-0005-0000-0000-00003A090000}"/>
    <cellStyle name="BlackText" xfId="567" xr:uid="{00000000-0005-0000-0000-00003B090000}"/>
    <cellStyle name="BlackTitle" xfId="568" xr:uid="{00000000-0005-0000-0000-00003C090000}"/>
    <cellStyle name="Blank" xfId="569" xr:uid="{00000000-0005-0000-0000-00003D090000}"/>
    <cellStyle name="Blank [,]" xfId="572" xr:uid="{00000000-0005-0000-0000-000040090000}"/>
    <cellStyle name="Blank [%]" xfId="571" xr:uid="{00000000-0005-0000-0000-00003F090000}"/>
    <cellStyle name="Blank [$]" xfId="570" xr:uid="{00000000-0005-0000-0000-00003E090000}"/>
    <cellStyle name="Blank [1,]" xfId="575" xr:uid="{00000000-0005-0000-0000-000043090000}"/>
    <cellStyle name="Blank [1%]" xfId="574" xr:uid="{00000000-0005-0000-0000-000042090000}"/>
    <cellStyle name="Blank [1$]" xfId="573" xr:uid="{00000000-0005-0000-0000-000041090000}"/>
    <cellStyle name="Blank [2,]" xfId="578" xr:uid="{00000000-0005-0000-0000-000046090000}"/>
    <cellStyle name="Blank [2%]" xfId="577" xr:uid="{00000000-0005-0000-0000-000045090000}"/>
    <cellStyle name="Blank [2$]" xfId="576" xr:uid="{00000000-0005-0000-0000-000044090000}"/>
    <cellStyle name="Blank [3,]" xfId="581" xr:uid="{00000000-0005-0000-0000-000049090000}"/>
    <cellStyle name="Blank [3%]" xfId="580" xr:uid="{00000000-0005-0000-0000-000048090000}"/>
    <cellStyle name="Blank [3$]" xfId="579" xr:uid="{00000000-0005-0000-0000-000047090000}"/>
    <cellStyle name="blank_Feeder" xfId="582" xr:uid="{00000000-0005-0000-0000-00004A090000}"/>
    <cellStyle name="block" xfId="583" xr:uid="{00000000-0005-0000-0000-00004B090000}"/>
    <cellStyle name="Block Titles" xfId="3485" xr:uid="{00000000-0005-0000-0000-00004C090000}"/>
    <cellStyle name="Block Titles 2" xfId="3808" xr:uid="{00000000-0005-0000-0000-00004D090000}"/>
    <cellStyle name="blp_column_header" xfId="3637" xr:uid="{00000000-0005-0000-0000-00004E090000}"/>
    <cellStyle name="blu" xfId="584" xr:uid="{00000000-0005-0000-0000-00004F090000}"/>
    <cellStyle name="Blue" xfId="585" xr:uid="{00000000-0005-0000-0000-000050090000}"/>
    <cellStyle name="Blue heading" xfId="3486" xr:uid="{00000000-0005-0000-0000-000051090000}"/>
    <cellStyle name="blue shading" xfId="586" xr:uid="{00000000-0005-0000-0000-000052090000}"/>
    <cellStyle name="Blue Text" xfId="587" xr:uid="{00000000-0005-0000-0000-000053090000}"/>
    <cellStyle name="Blue Text - Ariel 10" xfId="588" xr:uid="{00000000-0005-0000-0000-000054090000}"/>
    <cellStyle name="Blue Title" xfId="3487" xr:uid="{00000000-0005-0000-0000-000055090000}"/>
    <cellStyle name="Blue_02 Enersys - SAFT Merger_DH" xfId="3489" xr:uid="{00000000-0005-0000-0000-000058090000}"/>
    <cellStyle name="Blue&amp;white" xfId="589" xr:uid="{00000000-0005-0000-0000-000057090000}"/>
    <cellStyle name="blue$00" xfId="3488" xr:uid="{00000000-0005-0000-0000-000056090000}"/>
    <cellStyle name="BLuedashZero" xfId="590" xr:uid="{00000000-0005-0000-0000-000059090000}"/>
    <cellStyle name="bluenodec" xfId="591" xr:uid="{00000000-0005-0000-0000-00005A090000}"/>
    <cellStyle name="bluepercent" xfId="592" xr:uid="{00000000-0005-0000-0000-00005B090000}"/>
    <cellStyle name="bo" xfId="593" xr:uid="{00000000-0005-0000-0000-00005C090000}"/>
    <cellStyle name="bobby" xfId="594" xr:uid="{00000000-0005-0000-0000-00005D090000}"/>
    <cellStyle name="Body_$Dollars" xfId="595" xr:uid="{00000000-0005-0000-0000-00005E090000}"/>
    <cellStyle name="bold" xfId="596" xr:uid="{00000000-0005-0000-0000-00005F090000}"/>
    <cellStyle name="Bold/Border" xfId="597" xr:uid="{00000000-0005-0000-0000-000060090000}"/>
    <cellStyle name="BoldText" xfId="598" xr:uid="{00000000-0005-0000-0000-000061090000}"/>
    <cellStyle name="BoldText 2" xfId="3659" xr:uid="{00000000-0005-0000-0000-000062090000}"/>
    <cellStyle name="bord" xfId="3490" xr:uid="{00000000-0005-0000-0000-000063090000}"/>
    <cellStyle name="Border" xfId="599" xr:uid="{00000000-0005-0000-0000-000064090000}"/>
    <cellStyle name="Border Heavy" xfId="600" xr:uid="{00000000-0005-0000-0000-000065090000}"/>
    <cellStyle name="Border Heavy Up" xfId="601" xr:uid="{00000000-0005-0000-0000-000066090000}"/>
    <cellStyle name="Border Thick" xfId="602" xr:uid="{00000000-0005-0000-0000-000067090000}"/>
    <cellStyle name="Border Thin" xfId="603" xr:uid="{00000000-0005-0000-0000-000068090000}"/>
    <cellStyle name="Border Thin Up" xfId="604" xr:uid="{00000000-0005-0000-0000-000069090000}"/>
    <cellStyle name="Border Thin Up 2" xfId="3660" xr:uid="{00000000-0005-0000-0000-00006A090000}"/>
    <cellStyle name="Border Thin_040921_Eutelsat_LBOModel_v1" xfId="605" xr:uid="{00000000-0005-0000-0000-00006B090000}"/>
    <cellStyle name="Border Years" xfId="3491" xr:uid="{00000000-0005-0000-0000-00006C090000}"/>
    <cellStyle name="Border_Quasi Rent Illustration" xfId="2255" xr:uid="{00000000-0005-0000-0000-000073090000}"/>
    <cellStyle name="Border, Bottom" xfId="606" xr:uid="{00000000-0005-0000-0000-00006D090000}"/>
    <cellStyle name="Border, Left" xfId="607" xr:uid="{00000000-0005-0000-0000-00006E090000}"/>
    <cellStyle name="Border, Right" xfId="608" xr:uid="{00000000-0005-0000-0000-00006F090000}"/>
    <cellStyle name="Border, Right 2" xfId="3661" xr:uid="{00000000-0005-0000-0000-000070090000}"/>
    <cellStyle name="Border, Top" xfId="609" xr:uid="{00000000-0005-0000-0000-000071090000}"/>
    <cellStyle name="Border, Top 2" xfId="3662" xr:uid="{00000000-0005-0000-0000-000072090000}"/>
    <cellStyle name="Bottom" xfId="610" xr:uid="{00000000-0005-0000-0000-000074090000}"/>
    <cellStyle name="Bottom bold border" xfId="611" xr:uid="{00000000-0005-0000-0000-000075090000}"/>
    <cellStyle name="Bottom Edge" xfId="612" xr:uid="{00000000-0005-0000-0000-000076090000}"/>
    <cellStyle name="Bottom single border" xfId="613" xr:uid="{00000000-0005-0000-0000-000077090000}"/>
    <cellStyle name="bout" xfId="614" xr:uid="{00000000-0005-0000-0000-000078090000}"/>
    <cellStyle name="bout 2" xfId="3663" xr:uid="{00000000-0005-0000-0000-000079090000}"/>
    <cellStyle name="BoxHeading" xfId="615" xr:uid="{00000000-0005-0000-0000-00007A090000}"/>
    <cellStyle name="bp--" xfId="616" xr:uid="{00000000-0005-0000-0000-00007B090000}"/>
    <cellStyle name="Brand Align Left Text" xfId="617" xr:uid="{00000000-0005-0000-0000-00007C090000}"/>
    <cellStyle name="Brand Default" xfId="618" xr:uid="{00000000-0005-0000-0000-00007D090000}"/>
    <cellStyle name="Brand Percent" xfId="619" xr:uid="{00000000-0005-0000-0000-00007E090000}"/>
    <cellStyle name="Brand Source" xfId="620" xr:uid="{00000000-0005-0000-0000-00007F090000}"/>
    <cellStyle name="Brand Subtitle with Underline" xfId="621" xr:uid="{00000000-0005-0000-0000-000080090000}"/>
    <cellStyle name="Brand Subtitle without Underline" xfId="622" xr:uid="{00000000-0005-0000-0000-000081090000}"/>
    <cellStyle name="Brand Title" xfId="623" xr:uid="{00000000-0005-0000-0000-000082090000}"/>
    <cellStyle name="British Pound" xfId="624" xr:uid="{00000000-0005-0000-0000-000083090000}"/>
    <cellStyle name="BritPound" xfId="625" xr:uid="{00000000-0005-0000-0000-000084090000}"/>
    <cellStyle name="bss0" xfId="626" xr:uid="{00000000-0005-0000-0000-000085090000}"/>
    <cellStyle name="bss0 2" xfId="3664" xr:uid="{00000000-0005-0000-0000-000086090000}"/>
    <cellStyle name="bss2" xfId="627" xr:uid="{00000000-0005-0000-0000-000087090000}"/>
    <cellStyle name="bss2 2" xfId="3665" xr:uid="{00000000-0005-0000-0000-000088090000}"/>
    <cellStyle name="bt" xfId="628" xr:uid="{00000000-0005-0000-0000-000089090000}"/>
    <cellStyle name="btit" xfId="629" xr:uid="{00000000-0005-0000-0000-00008A090000}"/>
    <cellStyle name="Bullet" xfId="630" xr:uid="{00000000-0005-0000-0000-00008B090000}"/>
    <cellStyle name="Bullet [0]" xfId="631" xr:uid="{00000000-0005-0000-0000-00008C090000}"/>
    <cellStyle name="Bullet [2]" xfId="632" xr:uid="{00000000-0005-0000-0000-00008D090000}"/>
    <cellStyle name="Bullet [4]" xfId="633" xr:uid="{00000000-0005-0000-0000-00008E090000}"/>
    <cellStyle name="Buyout" xfId="634" xr:uid="{00000000-0005-0000-0000-00008F090000}"/>
    <cellStyle name="bx0" xfId="635" xr:uid="{00000000-0005-0000-0000-000090090000}"/>
    <cellStyle name="bx1" xfId="636" xr:uid="{00000000-0005-0000-0000-000091090000}"/>
    <cellStyle name="bx2" xfId="637" xr:uid="{00000000-0005-0000-0000-000092090000}"/>
    <cellStyle name="c" xfId="638" xr:uid="{00000000-0005-0000-0000-000093090000}"/>
    <cellStyle name="c 2" xfId="3492" xr:uid="{00000000-0005-0000-0000-000094090000}"/>
    <cellStyle name="c_Accretion (2)" xfId="639" xr:uid="{00000000-0005-0000-0000-000095090000}"/>
    <cellStyle name="c_ad3" xfId="640" xr:uid="{00000000-0005-0000-0000-000096090000}"/>
    <cellStyle name="c_ad5" xfId="641" xr:uid="{00000000-0005-0000-0000-000097090000}"/>
    <cellStyle name="c_asko1" xfId="642" xr:uid="{00000000-0005-0000-0000-000098090000}"/>
    <cellStyle name="c_Bal Sheets (2)" xfId="643" xr:uid="{00000000-0005-0000-0000-000099090000}"/>
    <cellStyle name="c_btr_2" xfId="644" xr:uid="{00000000-0005-0000-0000-00009A090000}"/>
    <cellStyle name="c_btr_3" xfId="645" xr:uid="{00000000-0005-0000-0000-00009B090000}"/>
    <cellStyle name="c_Cases (2)" xfId="646" xr:uid="{00000000-0005-0000-0000-00009C090000}"/>
    <cellStyle name="c_Cases (2)_Feeder" xfId="647" xr:uid="{00000000-0005-0000-0000-00009D090000}"/>
    <cellStyle name="c_Cases (2)_M&amp;A Model" xfId="648" xr:uid="{00000000-0005-0000-0000-00009E090000}"/>
    <cellStyle name="c_Cases (2)_M&amp;A projections" xfId="649" xr:uid="{00000000-0005-0000-0000-00009F090000}"/>
    <cellStyle name="c_Cases (3)" xfId="650" xr:uid="{00000000-0005-0000-0000-0000A0090000}"/>
    <cellStyle name="c_Cases (4)" xfId="651" xr:uid="{00000000-0005-0000-0000-0000A1090000}"/>
    <cellStyle name="c_Crown" xfId="652" xr:uid="{00000000-0005-0000-0000-0000A2090000}"/>
    <cellStyle name="c_dccmod1" xfId="653" xr:uid="{00000000-0005-0000-0000-0000A3090000}"/>
    <cellStyle name="c_DCF Matrix (2)" xfId="654" xr:uid="{00000000-0005-0000-0000-0000A4090000}"/>
    <cellStyle name="c_DCF Matrix (3)" xfId="655" xr:uid="{00000000-0005-0000-0000-0000A5090000}"/>
    <cellStyle name="c_DCF Matrix (4)" xfId="656" xr:uid="{00000000-0005-0000-0000-0000A6090000}"/>
    <cellStyle name="c_DMPR Sale (2)" xfId="657" xr:uid="{00000000-0005-0000-0000-0000A7090000}"/>
    <cellStyle name="c_Earn-out (2)" xfId="662" xr:uid="{00000000-0005-0000-0000-0000AC090000}"/>
    <cellStyle name="c_Earnings (2)" xfId="658" xr:uid="{00000000-0005-0000-0000-0000A8090000}"/>
    <cellStyle name="c_Earnings (2)_Feeder" xfId="659" xr:uid="{00000000-0005-0000-0000-0000A9090000}"/>
    <cellStyle name="c_Earnings (2)_M&amp;A Model" xfId="660" xr:uid="{00000000-0005-0000-0000-0000AA090000}"/>
    <cellStyle name="c_Earnings (2)_M&amp;A projections" xfId="661" xr:uid="{00000000-0005-0000-0000-0000AB090000}"/>
    <cellStyle name="c_Euro 2 (2)" xfId="663" xr:uid="{00000000-0005-0000-0000-0000AD090000}"/>
    <cellStyle name="c_Euro PICS (2)" xfId="664" xr:uid="{00000000-0005-0000-0000-0000AE090000}"/>
    <cellStyle name="c_Euro PICS (3)" xfId="665" xr:uid="{00000000-0005-0000-0000-0000AF090000}"/>
    <cellStyle name="c_Europe (2)" xfId="666" xr:uid="{00000000-0005-0000-0000-0000B0090000}"/>
    <cellStyle name="c_Feeder" xfId="667" xr:uid="{00000000-0005-0000-0000-0000B1090000}"/>
    <cellStyle name="c_Grouse+Pelican" xfId="668" xr:uid="{00000000-0005-0000-0000-0000B2090000}"/>
    <cellStyle name="c_Hist Inputs (2)" xfId="669" xr:uid="{00000000-0005-0000-0000-0000B3090000}"/>
    <cellStyle name="c_Hist Inputs (3)" xfId="670" xr:uid="{00000000-0005-0000-0000-0000B4090000}"/>
    <cellStyle name="c_Hist Inputs (4)" xfId="671" xr:uid="{00000000-0005-0000-0000-0000B5090000}"/>
    <cellStyle name="c_LBO" xfId="672" xr:uid="{00000000-0005-0000-0000-0000B6090000}"/>
    <cellStyle name="c_LBO IRR (2)" xfId="673" xr:uid="{00000000-0005-0000-0000-0000B7090000}"/>
    <cellStyle name="c_LBO Sens (2)" xfId="674" xr:uid="{00000000-0005-0000-0000-0000B8090000}"/>
    <cellStyle name="c_LBO Summary (2)" xfId="675" xr:uid="{00000000-0005-0000-0000-0000B9090000}"/>
    <cellStyle name="c_lbo_profstaff1" xfId="3493" xr:uid="{00000000-0005-0000-0000-0000BA090000}"/>
    <cellStyle name="c_lbo_profstaff1 2" xfId="3494" xr:uid="{00000000-0005-0000-0000-0000BB090000}"/>
    <cellStyle name="c_lbo1" xfId="676" xr:uid="{00000000-0005-0000-0000-0000BC090000}"/>
    <cellStyle name="c_lbo3" xfId="677" xr:uid="{00000000-0005-0000-0000-0000BD090000}"/>
    <cellStyle name="c_LBO5" xfId="678" xr:uid="{00000000-0005-0000-0000-0000BE090000}"/>
    <cellStyle name="c_M&amp;A Model" xfId="679" xr:uid="{00000000-0005-0000-0000-0000BF090000}"/>
    <cellStyle name="c_M&amp;A projections" xfId="680" xr:uid="{00000000-0005-0000-0000-0000C0090000}"/>
    <cellStyle name="c_Macros" xfId="681" xr:uid="{00000000-0005-0000-0000-0000C1090000}"/>
    <cellStyle name="c_Macros (2)" xfId="682" xr:uid="{00000000-0005-0000-0000-0000C2090000}"/>
    <cellStyle name="c_Manager (2)" xfId="683" xr:uid="{00000000-0005-0000-0000-0000C3090000}"/>
    <cellStyle name="c_mod7" xfId="684" xr:uid="{00000000-0005-0000-0000-0000C4090000}"/>
    <cellStyle name="c_mod9" xfId="685" xr:uid="{00000000-0005-0000-0000-0000C5090000}"/>
    <cellStyle name="c_model1" xfId="686" xr:uid="{00000000-0005-0000-0000-0000C6090000}"/>
    <cellStyle name="c_model6" xfId="687" xr:uid="{00000000-0005-0000-0000-0000C7090000}"/>
    <cellStyle name="c_NOL (2)" xfId="688" xr:uid="{00000000-0005-0000-0000-0000C8090000}"/>
    <cellStyle name="c_PFMA Cap (2)" xfId="689" xr:uid="{00000000-0005-0000-0000-0000C9090000}"/>
    <cellStyle name="c_PFMA Credit (2)" xfId="690" xr:uid="{00000000-0005-0000-0000-0000CA090000}"/>
    <cellStyle name="c_quarterly template" xfId="691" xr:uid="{00000000-0005-0000-0000-0000CB090000}"/>
    <cellStyle name="c_Restructuring (2)" xfId="692" xr:uid="{00000000-0005-0000-0000-0000CC090000}"/>
    <cellStyle name="c_Revised" xfId="693" xr:uid="{00000000-0005-0000-0000-0000CD090000}"/>
    <cellStyle name="c_saft_1" xfId="694" xr:uid="{00000000-0005-0000-0000-0000CE090000}"/>
    <cellStyle name="c_Schedules (2)" xfId="695" xr:uid="{00000000-0005-0000-0000-0000CF090000}"/>
    <cellStyle name="c_Spring Final model" xfId="696" xr:uid="{00000000-0005-0000-0000-0000D0090000}"/>
    <cellStyle name="c_Standalone (2)" xfId="697" xr:uid="{00000000-0005-0000-0000-0000D1090000}"/>
    <cellStyle name="c_Trading Val Calc (2)" xfId="698" xr:uid="{00000000-0005-0000-0000-0000D2090000}"/>
    <cellStyle name="c_Val Sum (2)" xfId="699" xr:uid="{00000000-0005-0000-0000-0000D3090000}"/>
    <cellStyle name="c_WACC benchmarking" xfId="700" xr:uid="{00000000-0005-0000-0000-0000D4090000}"/>
    <cellStyle name="c_WACC benchmarking_Blank LBO Model v15" xfId="701" xr:uid="{00000000-0005-0000-0000-0000D5090000}"/>
    <cellStyle name="c_WACC benchmarking_Crown Holdings  - LBO Model 1.8 covenants_3 Aug" xfId="702" xr:uid="{00000000-0005-0000-0000-0000D6090000}"/>
    <cellStyle name="c_WACC benchmarking_George - LBO Model 3.1" xfId="703" xr:uid="{00000000-0005-0000-0000-0000D7090000}"/>
    <cellStyle name="c_West Ham (2)" xfId="704" xr:uid="{00000000-0005-0000-0000-0000D8090000}"/>
    <cellStyle name="c_Westham (2)" xfId="705" xr:uid="{00000000-0005-0000-0000-0000D9090000}"/>
    <cellStyle name="c_Wool_01_07_12_1999" xfId="706" xr:uid="{00000000-0005-0000-0000-0000DA090000}"/>
    <cellStyle name="c_Wool_14_12_1999_2" xfId="707" xr:uid="{00000000-0005-0000-0000-0000DB090000}"/>
    <cellStyle name="c_Wool_15_02_2000" xfId="708" xr:uid="{00000000-0005-0000-0000-0000DC090000}"/>
    <cellStyle name="c_Wool_28_01_2000_02" xfId="709" xr:uid="{00000000-0005-0000-0000-0000DD090000}"/>
    <cellStyle name="c_WoolEuro_12_04_2000_02" xfId="710" xr:uid="{00000000-0005-0000-0000-0000DE090000}"/>
    <cellStyle name="c_WoolEuro_17_03_2000" xfId="711" xr:uid="{00000000-0005-0000-0000-0000DF090000}"/>
    <cellStyle name="c_WoolEuro_20_03_2000_3" xfId="712" xr:uid="{00000000-0005-0000-0000-0000E0090000}"/>
    <cellStyle name="c_WoolEuroEx_14_04_2000_01" xfId="713" xr:uid="{00000000-0005-0000-0000-0000E1090000}"/>
    <cellStyle name="c0" xfId="714" xr:uid="{00000000-0005-0000-0000-0000E2090000}"/>
    <cellStyle name="c2" xfId="715" xr:uid="{00000000-0005-0000-0000-0000E3090000}"/>
    <cellStyle name="Cabecera 1" xfId="3495" xr:uid="{00000000-0005-0000-0000-0000E4090000}"/>
    <cellStyle name="Cabecera 2" xfId="3496" xr:uid="{00000000-0005-0000-0000-0000E5090000}"/>
    <cellStyle name="cach" xfId="716" xr:uid="{00000000-0005-0000-0000-0000E6090000}"/>
    <cellStyle name="CALC Amount" xfId="2256" xr:uid="{00000000-0005-0000-0000-0000E7090000}"/>
    <cellStyle name="CALC Amount Total" xfId="2257" xr:uid="{00000000-0005-0000-0000-0000E8090000}"/>
    <cellStyle name="CALC Amount Total 2" xfId="3714" xr:uid="{00000000-0005-0000-0000-0000E9090000}"/>
    <cellStyle name="Calc Cells" xfId="3497" xr:uid="{00000000-0005-0000-0000-0000EA090000}"/>
    <cellStyle name="Calc Currency (0)" xfId="717" xr:uid="{00000000-0005-0000-0000-0000EB090000}"/>
    <cellStyle name="Calc Currency (2)" xfId="718" xr:uid="{00000000-0005-0000-0000-0000EC090000}"/>
    <cellStyle name="Calc Percent (0)" xfId="719" xr:uid="{00000000-0005-0000-0000-0000ED090000}"/>
    <cellStyle name="Calc Percent (1)" xfId="720" xr:uid="{00000000-0005-0000-0000-0000EE090000}"/>
    <cellStyle name="Calc Percent (2)" xfId="721" xr:uid="{00000000-0005-0000-0000-0000EF090000}"/>
    <cellStyle name="Calc Units (0)" xfId="722" xr:uid="{00000000-0005-0000-0000-0000F0090000}"/>
    <cellStyle name="Calc Units (1)" xfId="723" xr:uid="{00000000-0005-0000-0000-0000F1090000}"/>
    <cellStyle name="Calc Units (2)" xfId="724" xr:uid="{00000000-0005-0000-0000-0000F2090000}"/>
    <cellStyle name="Calcs" xfId="725" xr:uid="{00000000-0005-0000-0000-0000F3090000}"/>
    <cellStyle name="Calculation 2" xfId="3498" xr:uid="{00000000-0005-0000-0000-0000F4090000}"/>
    <cellStyle name="Calculation 2 2" xfId="3499" xr:uid="{00000000-0005-0000-0000-0000F5090000}"/>
    <cellStyle name="Case" xfId="726" xr:uid="{00000000-0005-0000-0000-0000F6090000}"/>
    <cellStyle name="CashFlow" xfId="727" xr:uid="{00000000-0005-0000-0000-0000F7090000}"/>
    <cellStyle name="CATV Total" xfId="728" xr:uid="{00000000-0005-0000-0000-0000F8090000}"/>
    <cellStyle name="CB" xfId="729" xr:uid="{00000000-0005-0000-0000-0000F9090000}"/>
    <cellStyle name="center" xfId="730" xr:uid="{00000000-0005-0000-0000-0000FA090000}"/>
    <cellStyle name="Cents" xfId="731" xr:uid="{00000000-0005-0000-0000-0000FB090000}"/>
    <cellStyle name="Ch, Column Header" xfId="732" xr:uid="{00000000-0005-0000-0000-0000FC090000}"/>
    <cellStyle name="Change" xfId="733" xr:uid="{00000000-0005-0000-0000-0000FD090000}"/>
    <cellStyle name="Changeable" xfId="734" xr:uid="{00000000-0005-0000-0000-0000FE090000}"/>
    <cellStyle name="Check" xfId="735" xr:uid="{00000000-0005-0000-0000-0000FF090000}"/>
    <cellStyle name="Check Cell 2" xfId="3500" xr:uid="{00000000-0005-0000-0000-0000000A0000}"/>
    <cellStyle name="Check Cell 2 2" xfId="3501" xr:uid="{00000000-0005-0000-0000-0000010A0000}"/>
    <cellStyle name="Choose Number" xfId="736" xr:uid="{00000000-0005-0000-0000-0000020A0000}"/>
    <cellStyle name="CK_BrokersInput" xfId="737" xr:uid="{00000000-0005-0000-0000-0000030A0000}"/>
    <cellStyle name="claire" xfId="3502" xr:uid="{00000000-0005-0000-0000-0000040A0000}"/>
    <cellStyle name="CLEAR" xfId="738" xr:uid="{00000000-0005-0000-0000-0000050A0000}"/>
    <cellStyle name="Client Name" xfId="739" xr:uid="{00000000-0005-0000-0000-0000060A0000}"/>
    <cellStyle name="co" xfId="740" xr:uid="{00000000-0005-0000-0000-0000070A0000}"/>
    <cellStyle name="COL HEADINGS" xfId="741" xr:uid="{00000000-0005-0000-0000-0000080A0000}"/>
    <cellStyle name="Colhead_left" xfId="742" xr:uid="{00000000-0005-0000-0000-0000090A0000}"/>
    <cellStyle name="ColHeading" xfId="743" xr:uid="{00000000-0005-0000-0000-00000A0A0000}"/>
    <cellStyle name="colheadleft" xfId="744" xr:uid="{00000000-0005-0000-0000-00000B0A0000}"/>
    <cellStyle name="colheadright" xfId="745" xr:uid="{00000000-0005-0000-0000-00000C0A0000}"/>
    <cellStyle name="Collegamento ipertestuale_MIDI MEDIA1" xfId="3503" xr:uid="{00000000-0005-0000-0000-00000D0A0000}"/>
    <cellStyle name="Column Heading" xfId="746" xr:uid="{00000000-0005-0000-0000-00000E0A0000}"/>
    <cellStyle name="Column Headings" xfId="747" xr:uid="{00000000-0005-0000-0000-00000F0A0000}"/>
    <cellStyle name="Column Title" xfId="748" xr:uid="{00000000-0005-0000-0000-0000100A0000}"/>
    <cellStyle name="column_heading" xfId="749" xr:uid="{00000000-0005-0000-0000-0000110A0000}"/>
    <cellStyle name="ColumnHead" xfId="750" xr:uid="{00000000-0005-0000-0000-0000120A0000}"/>
    <cellStyle name="ColumnHeaders" xfId="751" xr:uid="{00000000-0005-0000-0000-0000130A0000}"/>
    <cellStyle name="ColumnHeading" xfId="752" xr:uid="{00000000-0005-0000-0000-0000140A0000}"/>
    <cellStyle name="Comma  - Style1" xfId="753" xr:uid="{00000000-0005-0000-0000-0000150A0000}"/>
    <cellStyle name="Comma  - Style2" xfId="754" xr:uid="{00000000-0005-0000-0000-0000160A0000}"/>
    <cellStyle name="Comma  - Style3" xfId="755" xr:uid="{00000000-0005-0000-0000-0000170A0000}"/>
    <cellStyle name="Comma  - Style4" xfId="756" xr:uid="{00000000-0005-0000-0000-0000180A0000}"/>
    <cellStyle name="Comma  - Style5" xfId="757" xr:uid="{00000000-0005-0000-0000-0000190A0000}"/>
    <cellStyle name="Comma  - Style6" xfId="758" xr:uid="{00000000-0005-0000-0000-00001A0A0000}"/>
    <cellStyle name="Comma  - Style7" xfId="759" xr:uid="{00000000-0005-0000-0000-00001B0A0000}"/>
    <cellStyle name="Comma  - Style8" xfId="760" xr:uid="{00000000-0005-0000-0000-00001C0A0000}"/>
    <cellStyle name="Comma ," xfId="766" xr:uid="{00000000-0005-0000-0000-0000220A0000}"/>
    <cellStyle name="Comma (0)" xfId="761" xr:uid="{00000000-0005-0000-0000-00001D0A0000}"/>
    <cellStyle name="Comma (0dp)" xfId="762" xr:uid="{00000000-0005-0000-0000-00001E0A0000}"/>
    <cellStyle name="Comma (1dp)" xfId="763" xr:uid="{00000000-0005-0000-0000-00001F0A0000}"/>
    <cellStyle name="Comma (2)" xfId="764" xr:uid="{00000000-0005-0000-0000-0000200A0000}"/>
    <cellStyle name="Comma (2dp)" xfId="765" xr:uid="{00000000-0005-0000-0000-0000210A0000}"/>
    <cellStyle name="Comma [0] Total" xfId="767" xr:uid="{00000000-0005-0000-0000-0000230A0000}"/>
    <cellStyle name="Comma [0] Total 2" xfId="3666" xr:uid="{00000000-0005-0000-0000-0000240A0000}"/>
    <cellStyle name="Comma [00]" xfId="768" xr:uid="{00000000-0005-0000-0000-0000250A0000}"/>
    <cellStyle name="Comma [1]" xfId="769" xr:uid="{00000000-0005-0000-0000-0000260A0000}"/>
    <cellStyle name="Comma [1] Total" xfId="770" xr:uid="{00000000-0005-0000-0000-0000270A0000}"/>
    <cellStyle name="Comma [1] Total 2" xfId="3667" xr:uid="{00000000-0005-0000-0000-0000280A0000}"/>
    <cellStyle name="Comma [1]_Feeder" xfId="771" xr:uid="{00000000-0005-0000-0000-0000290A0000}"/>
    <cellStyle name="Comma [2]" xfId="772" xr:uid="{00000000-0005-0000-0000-00002A0A0000}"/>
    <cellStyle name="Comma [2] Total" xfId="773" xr:uid="{00000000-0005-0000-0000-00002B0A0000}"/>
    <cellStyle name="Comma [2] Total 2" xfId="3668" xr:uid="{00000000-0005-0000-0000-00002C0A0000}"/>
    <cellStyle name="Comma [2]_Funds Flow 01" xfId="774" xr:uid="{00000000-0005-0000-0000-00002D0A0000}"/>
    <cellStyle name="Comma [3]" xfId="775" xr:uid="{00000000-0005-0000-0000-00002E0A0000}"/>
    <cellStyle name="comma [zero]" xfId="776" xr:uid="{00000000-0005-0000-0000-00002F0A0000}"/>
    <cellStyle name="Comma 0" xfId="777" xr:uid="{00000000-0005-0000-0000-0000300A0000}"/>
    <cellStyle name="Comma 0*" xfId="778" xr:uid="{00000000-0005-0000-0000-0000310A0000}"/>
    <cellStyle name="Comma 10" xfId="1709" xr:uid="{00000000-0005-0000-0000-0000330A0000}"/>
    <cellStyle name="Comma 10 2" xfId="3504" xr:uid="{00000000-0005-0000-0000-0000340A0000}"/>
    <cellStyle name="Comma 10 2 2" xfId="3505" xr:uid="{00000000-0005-0000-0000-0000350A0000}"/>
    <cellStyle name="Comma 10 2 3" xfId="3506" xr:uid="{00000000-0005-0000-0000-0000360A0000}"/>
    <cellStyle name="Comma 10 2 4" xfId="3507" xr:uid="{00000000-0005-0000-0000-0000370A0000}"/>
    <cellStyle name="Comma 10 3" xfId="3508" xr:uid="{00000000-0005-0000-0000-0000380A0000}"/>
    <cellStyle name="Comma 10 3 2" xfId="3509" xr:uid="{00000000-0005-0000-0000-0000390A0000}"/>
    <cellStyle name="Comma 10 3 3" xfId="3510" xr:uid="{00000000-0005-0000-0000-00003A0A0000}"/>
    <cellStyle name="Comma 10 3 4" xfId="3511" xr:uid="{00000000-0005-0000-0000-00003B0A0000}"/>
    <cellStyle name="Comma 10 4" xfId="3512" xr:uid="{00000000-0005-0000-0000-00003C0A0000}"/>
    <cellStyle name="Comma 10 5" xfId="3513" xr:uid="{00000000-0005-0000-0000-00003D0A0000}"/>
    <cellStyle name="Comma 10 6" xfId="3514" xr:uid="{00000000-0005-0000-0000-00003E0A0000}"/>
    <cellStyle name="Comma 11" xfId="1729" xr:uid="{00000000-0005-0000-0000-00003F0A0000}"/>
    <cellStyle name="Comma 11 2" xfId="3515" xr:uid="{00000000-0005-0000-0000-0000400A0000}"/>
    <cellStyle name="Comma 11 2 2" xfId="3516" xr:uid="{00000000-0005-0000-0000-0000410A0000}"/>
    <cellStyle name="Comma 11 2 3" xfId="3517" xr:uid="{00000000-0005-0000-0000-0000420A0000}"/>
    <cellStyle name="Comma 11 2 4" xfId="3518" xr:uid="{00000000-0005-0000-0000-0000430A0000}"/>
    <cellStyle name="Comma 11 3" xfId="3519" xr:uid="{00000000-0005-0000-0000-0000440A0000}"/>
    <cellStyle name="Comma 11 3 2" xfId="3520" xr:uid="{00000000-0005-0000-0000-0000450A0000}"/>
    <cellStyle name="Comma 11 3 3" xfId="3521" xr:uid="{00000000-0005-0000-0000-0000460A0000}"/>
    <cellStyle name="Comma 11 3 4" xfId="3522" xr:uid="{00000000-0005-0000-0000-0000470A0000}"/>
    <cellStyle name="Comma 11 4" xfId="3523" xr:uid="{00000000-0005-0000-0000-0000480A0000}"/>
    <cellStyle name="Comma 11 5" xfId="3524" xr:uid="{00000000-0005-0000-0000-0000490A0000}"/>
    <cellStyle name="Comma 11 6" xfId="3525" xr:uid="{00000000-0005-0000-0000-00004A0A0000}"/>
    <cellStyle name="Comma 12" xfId="1732" xr:uid="{00000000-0005-0000-0000-00004B0A0000}"/>
    <cellStyle name="Comma 12 2" xfId="3526" xr:uid="{00000000-0005-0000-0000-00004C0A0000}"/>
    <cellStyle name="Comma 12 3" xfId="3527" xr:uid="{00000000-0005-0000-0000-00004D0A0000}"/>
    <cellStyle name="Comma 13" xfId="1737" xr:uid="{00000000-0005-0000-0000-00004E0A0000}"/>
    <cellStyle name="Comma 13 2" xfId="3528" xr:uid="{00000000-0005-0000-0000-00004F0A0000}"/>
    <cellStyle name="Comma 14" xfId="1740" xr:uid="{00000000-0005-0000-0000-0000500A0000}"/>
    <cellStyle name="Comma 14 2" xfId="3529" xr:uid="{00000000-0005-0000-0000-0000510A0000}"/>
    <cellStyle name="Comma 15" xfId="1744" xr:uid="{00000000-0005-0000-0000-0000520A0000}"/>
    <cellStyle name="Comma 15 2" xfId="3530" xr:uid="{00000000-0005-0000-0000-0000530A0000}"/>
    <cellStyle name="Comma 16" xfId="2258" xr:uid="{00000000-0005-0000-0000-0000540A0000}"/>
    <cellStyle name="Comma 17" xfId="3531" xr:uid="{00000000-0005-0000-0000-0000550A0000}"/>
    <cellStyle name="Comma 18" xfId="3532" xr:uid="{00000000-0005-0000-0000-0000560A0000}"/>
    <cellStyle name="Comma 19" xfId="3533" xr:uid="{00000000-0005-0000-0000-0000570A0000}"/>
    <cellStyle name="Comma 2" xfId="4" xr:uid="{00000000-0005-0000-0000-0000580A0000}"/>
    <cellStyle name="Comma 2 2" xfId="3534" xr:uid="{00000000-0005-0000-0000-0000590A0000}"/>
    <cellStyle name="Comma 2 2 2" xfId="3535" xr:uid="{00000000-0005-0000-0000-00005A0A0000}"/>
    <cellStyle name="Comma 2 3" xfId="3536" xr:uid="{00000000-0005-0000-0000-00005B0A0000}"/>
    <cellStyle name="Comma 2 3 3" xfId="3638" xr:uid="{00000000-0005-0000-0000-00005C0A0000}"/>
    <cellStyle name="Comma 2 4" xfId="3537" xr:uid="{00000000-0005-0000-0000-00005D0A0000}"/>
    <cellStyle name="Comma 2 5" xfId="3538" xr:uid="{00000000-0005-0000-0000-00005E0A0000}"/>
    <cellStyle name="Comma 2 6" xfId="3539" xr:uid="{00000000-0005-0000-0000-00005F0A0000}"/>
    <cellStyle name="Comma 2 7" xfId="3540" xr:uid="{00000000-0005-0000-0000-0000600A0000}"/>
    <cellStyle name="Comma 2 8" xfId="3541" xr:uid="{00000000-0005-0000-0000-0000610A0000}"/>
    <cellStyle name="Comma 2_Accretion_Dilution" xfId="780" xr:uid="{00000000-0005-0000-0000-0000630A0000}"/>
    <cellStyle name="Comma 2*" xfId="779" xr:uid="{00000000-0005-0000-0000-0000620A0000}"/>
    <cellStyle name="Comma 20" xfId="3542" xr:uid="{00000000-0005-0000-0000-0000640A0000}"/>
    <cellStyle name="Comma 20 2" xfId="3543" xr:uid="{00000000-0005-0000-0000-0000650A0000}"/>
    <cellStyle name="Comma 20 3" xfId="3544" xr:uid="{00000000-0005-0000-0000-0000660A0000}"/>
    <cellStyle name="Comma 20 4" xfId="3545" xr:uid="{00000000-0005-0000-0000-0000670A0000}"/>
    <cellStyle name="Comma 21" xfId="3546" xr:uid="{00000000-0005-0000-0000-0000680A0000}"/>
    <cellStyle name="Comma 22" xfId="3547" xr:uid="{00000000-0005-0000-0000-0000690A0000}"/>
    <cellStyle name="Comma 23" xfId="3548" xr:uid="{00000000-0005-0000-0000-00006A0A0000}"/>
    <cellStyle name="Comma 23 2" xfId="3549" xr:uid="{00000000-0005-0000-0000-00006B0A0000}"/>
    <cellStyle name="Comma 23 2 2" xfId="3550" xr:uid="{00000000-0005-0000-0000-00006C0A0000}"/>
    <cellStyle name="Comma 24" xfId="3551" xr:uid="{00000000-0005-0000-0000-00006D0A0000}"/>
    <cellStyle name="Comma 25" xfId="3552" xr:uid="{00000000-0005-0000-0000-00006E0A0000}"/>
    <cellStyle name="Comma 26" xfId="3553" xr:uid="{00000000-0005-0000-0000-00006F0A0000}"/>
    <cellStyle name="Comma 26 2" xfId="3554" xr:uid="{00000000-0005-0000-0000-0000700A0000}"/>
    <cellStyle name="Comma 27" xfId="3555" xr:uid="{00000000-0005-0000-0000-0000710A0000}"/>
    <cellStyle name="Comma 28" xfId="3556" xr:uid="{00000000-0005-0000-0000-0000720A0000}"/>
    <cellStyle name="Comma 3" xfId="1696" xr:uid="{00000000-0005-0000-0000-0000730A0000}"/>
    <cellStyle name="Comma 3 2" xfId="3557" xr:uid="{00000000-0005-0000-0000-0000740A0000}"/>
    <cellStyle name="Comma 3 2 2" xfId="3558" xr:uid="{00000000-0005-0000-0000-0000750A0000}"/>
    <cellStyle name="Comma 3 3" xfId="3559" xr:uid="{00000000-0005-0000-0000-0000760A0000}"/>
    <cellStyle name="Comma 3 4" xfId="3560" xr:uid="{00000000-0005-0000-0000-0000770A0000}"/>
    <cellStyle name="Comma 3 5" xfId="3561" xr:uid="{00000000-0005-0000-0000-0000780A0000}"/>
    <cellStyle name="Comma 3 6" xfId="3562" xr:uid="{00000000-0005-0000-0000-0000790A0000}"/>
    <cellStyle name="Comma 3*" xfId="781" xr:uid="{00000000-0005-0000-0000-00007A0A0000}"/>
    <cellStyle name="Comma 4" xfId="1701" xr:uid="{00000000-0005-0000-0000-00007B0A0000}"/>
    <cellStyle name="Comma 4 2" xfId="3563" xr:uid="{00000000-0005-0000-0000-00007C0A0000}"/>
    <cellStyle name="Comma 4 3" xfId="3564" xr:uid="{00000000-0005-0000-0000-00007D0A0000}"/>
    <cellStyle name="Comma 5" xfId="1704" xr:uid="{00000000-0005-0000-0000-00007E0A0000}"/>
    <cellStyle name="Comma 5 2" xfId="3565" xr:uid="{00000000-0005-0000-0000-00007F0A0000}"/>
    <cellStyle name="Comma 5 3" xfId="3566" xr:uid="{00000000-0005-0000-0000-0000800A0000}"/>
    <cellStyle name="Comma 55" xfId="3639" xr:uid="{00000000-0005-0000-0000-0000810A0000}"/>
    <cellStyle name="Comma 6" xfId="1720" xr:uid="{00000000-0005-0000-0000-0000820A0000}"/>
    <cellStyle name="Comma 6 2" xfId="3567" xr:uid="{00000000-0005-0000-0000-0000830A0000}"/>
    <cellStyle name="Comma 6 2 2" xfId="3568" xr:uid="{00000000-0005-0000-0000-0000840A0000}"/>
    <cellStyle name="Comma 6 2 3" xfId="3569" xr:uid="{00000000-0005-0000-0000-0000850A0000}"/>
    <cellStyle name="Comma 6 2 4" xfId="3570" xr:uid="{00000000-0005-0000-0000-0000860A0000}"/>
    <cellStyle name="Comma 6 3" xfId="3571" xr:uid="{00000000-0005-0000-0000-0000870A0000}"/>
    <cellStyle name="Comma 6 3 2" xfId="3572" xr:uid="{00000000-0005-0000-0000-0000880A0000}"/>
    <cellStyle name="Comma 6 3 3" xfId="3573" xr:uid="{00000000-0005-0000-0000-0000890A0000}"/>
    <cellStyle name="Comma 6 3 4" xfId="3574" xr:uid="{00000000-0005-0000-0000-00008A0A0000}"/>
    <cellStyle name="Comma 6 4" xfId="3575" xr:uid="{00000000-0005-0000-0000-00008B0A0000}"/>
    <cellStyle name="Comma 6 5" xfId="3576" xr:uid="{00000000-0005-0000-0000-00008C0A0000}"/>
    <cellStyle name="Comma 6 6" xfId="3577" xr:uid="{00000000-0005-0000-0000-00008D0A0000}"/>
    <cellStyle name="Comma 7" xfId="1724" xr:uid="{00000000-0005-0000-0000-00008E0A0000}"/>
    <cellStyle name="Comma 8" xfId="1711" xr:uid="{00000000-0005-0000-0000-00008F0A0000}"/>
    <cellStyle name="Comma 8 2" xfId="3578" xr:uid="{00000000-0005-0000-0000-0000900A0000}"/>
    <cellStyle name="Comma 8 2 2" xfId="3579" xr:uid="{00000000-0005-0000-0000-0000910A0000}"/>
    <cellStyle name="Comma 8 2 3" xfId="3580" xr:uid="{00000000-0005-0000-0000-0000920A0000}"/>
    <cellStyle name="Comma 8 2 4" xfId="3581" xr:uid="{00000000-0005-0000-0000-0000930A0000}"/>
    <cellStyle name="Comma 8 3" xfId="3582" xr:uid="{00000000-0005-0000-0000-0000940A0000}"/>
    <cellStyle name="Comma 8 3 2" xfId="3583" xr:uid="{00000000-0005-0000-0000-0000950A0000}"/>
    <cellStyle name="Comma 8 3 3" xfId="3584" xr:uid="{00000000-0005-0000-0000-0000960A0000}"/>
    <cellStyle name="Comma 8 3 4" xfId="3585" xr:uid="{00000000-0005-0000-0000-0000970A0000}"/>
    <cellStyle name="Comma 8 4" xfId="3586" xr:uid="{00000000-0005-0000-0000-0000980A0000}"/>
    <cellStyle name="Comma 8 5" xfId="3587" xr:uid="{00000000-0005-0000-0000-0000990A0000}"/>
    <cellStyle name="Comma 8 6" xfId="3588" xr:uid="{00000000-0005-0000-0000-00009A0A0000}"/>
    <cellStyle name="Comma 9" xfId="1714" xr:uid="{00000000-0005-0000-0000-00009B0A0000}"/>
    <cellStyle name="Comma 9 2" xfId="3589" xr:uid="{00000000-0005-0000-0000-00009C0A0000}"/>
    <cellStyle name="Comma 9 2 2" xfId="3590" xr:uid="{00000000-0005-0000-0000-00009D0A0000}"/>
    <cellStyle name="Comma 9 2 3" xfId="3591" xr:uid="{00000000-0005-0000-0000-00009E0A0000}"/>
    <cellStyle name="Comma 9 2 4" xfId="3592" xr:uid="{00000000-0005-0000-0000-00009F0A0000}"/>
    <cellStyle name="Comma 9 3" xfId="3593" xr:uid="{00000000-0005-0000-0000-0000A00A0000}"/>
    <cellStyle name="Comma 9 3 2" xfId="3594" xr:uid="{00000000-0005-0000-0000-0000A10A0000}"/>
    <cellStyle name="Comma 9 3 3" xfId="3595" xr:uid="{00000000-0005-0000-0000-0000A20A0000}"/>
    <cellStyle name="Comma 9 3 4" xfId="3596" xr:uid="{00000000-0005-0000-0000-0000A30A0000}"/>
    <cellStyle name="Comma 9 4" xfId="3597" xr:uid="{00000000-0005-0000-0000-0000A40A0000}"/>
    <cellStyle name="Comma 9 5" xfId="3598" xr:uid="{00000000-0005-0000-0000-0000A50A0000}"/>
    <cellStyle name="Comma 9 6" xfId="3599" xr:uid="{00000000-0005-0000-0000-0000A60A0000}"/>
    <cellStyle name="Comma Cents" xfId="782" xr:uid="{00000000-0005-0000-0000-0000A70A0000}"/>
    <cellStyle name="Comma, 1 dec" xfId="784" xr:uid="{00000000-0005-0000-0000-0000A90A0000}"/>
    <cellStyle name="Comma, 1dec" xfId="3600" xr:uid="{00000000-0005-0000-0000-0000AA0A0000}"/>
    <cellStyle name="Comma[0]" xfId="3601" xr:uid="{00000000-0005-0000-0000-0000AB0A0000}"/>
    <cellStyle name="Comma*" xfId="783" xr:uid="{00000000-0005-0000-0000-0000A80A0000}"/>
    <cellStyle name="Comma0" xfId="785" xr:uid="{00000000-0005-0000-0000-0000AC0A0000}"/>
    <cellStyle name="Comma1" xfId="786" xr:uid="{00000000-0005-0000-0000-0000AD0A0000}"/>
    <cellStyle name="Comma1 - Style1" xfId="787" xr:uid="{00000000-0005-0000-0000-0000AE0A0000}"/>
    <cellStyle name="Comma2" xfId="788" xr:uid="{00000000-0005-0000-0000-0000AF0A0000}"/>
    <cellStyle name="Comment" xfId="789" xr:uid="{00000000-0005-0000-0000-0000B00A0000}"/>
    <cellStyle name="Company" xfId="790" xr:uid="{00000000-0005-0000-0000-0000B10A0000}"/>
    <cellStyle name="Company Name" xfId="791" xr:uid="{00000000-0005-0000-0000-0000B20A0000}"/>
    <cellStyle name="Company_CSC July 24" xfId="3602" xr:uid="{00000000-0005-0000-0000-0000B30A0000}"/>
    <cellStyle name="CompanyName" xfId="792" xr:uid="{00000000-0005-0000-0000-0000B40A0000}"/>
    <cellStyle name="Copy Decimal 0" xfId="3603" xr:uid="{00000000-0005-0000-0000-0000B50A0000}"/>
    <cellStyle name="Copy Decimal 0,00" xfId="3604" xr:uid="{00000000-0005-0000-0000-0000B60A0000}"/>
    <cellStyle name="Copy Percent 0" xfId="3605" xr:uid="{00000000-0005-0000-0000-0000B80A0000}"/>
    <cellStyle name="Copy Percent 0,00" xfId="3606" xr:uid="{00000000-0005-0000-0000-0000B90A0000}"/>
    <cellStyle name="Cost" xfId="3607" xr:uid="{00000000-0005-0000-0000-0000BB0A0000}"/>
    <cellStyle name="CountryTitle" xfId="793" xr:uid="{00000000-0005-0000-0000-0000BC0A0000}"/>
    <cellStyle name="Cover" xfId="2259" xr:uid="{00000000-0005-0000-0000-0000BD0A0000}"/>
    <cellStyle name="Cover Date" xfId="794" xr:uid="{00000000-0005-0000-0000-0000BE0A0000}"/>
    <cellStyle name="Cover Subtitle" xfId="795" xr:uid="{00000000-0005-0000-0000-0000BF0A0000}"/>
    <cellStyle name="Cover Title" xfId="796" xr:uid="{00000000-0005-0000-0000-0000C00A0000}"/>
    <cellStyle name="cu" xfId="797" xr:uid="{00000000-0005-0000-0000-0000C10A0000}"/>
    <cellStyle name="CurRatio" xfId="798" xr:uid="{00000000-0005-0000-0000-0000C20A0000}"/>
    <cellStyle name="Currency [0] Total" xfId="800" xr:uid="{00000000-0005-0000-0000-0000C40A0000}"/>
    <cellStyle name="Currency [0] Total 2" xfId="3669" xr:uid="{00000000-0005-0000-0000-0000C50A0000}"/>
    <cellStyle name="Currency [00]" xfId="801" xr:uid="{00000000-0005-0000-0000-0000C60A0000}"/>
    <cellStyle name="Currency [1]" xfId="802" xr:uid="{00000000-0005-0000-0000-0000C70A0000}"/>
    <cellStyle name="Currency [1] Total" xfId="803" xr:uid="{00000000-0005-0000-0000-0000C80A0000}"/>
    <cellStyle name="Currency [1] Total 2" xfId="3670" xr:uid="{00000000-0005-0000-0000-0000C90A0000}"/>
    <cellStyle name="Currency [1]_Feeder" xfId="804" xr:uid="{00000000-0005-0000-0000-0000CA0A0000}"/>
    <cellStyle name="Currency [2]" xfId="805" xr:uid="{00000000-0005-0000-0000-0000CB0A0000}"/>
    <cellStyle name="Currency [2] Total" xfId="806" xr:uid="{00000000-0005-0000-0000-0000CC0A0000}"/>
    <cellStyle name="Currency [2] Total 2" xfId="3671" xr:uid="{00000000-0005-0000-0000-0000CD0A0000}"/>
    <cellStyle name="Currency [2]_Feeder" xfId="807" xr:uid="{00000000-0005-0000-0000-0000CE0A0000}"/>
    <cellStyle name="Currency [3]" xfId="808" xr:uid="{00000000-0005-0000-0000-0000CF0A0000}"/>
    <cellStyle name="Currency [B]" xfId="809" xr:uid="{00000000-0005-0000-0000-0000D00A0000}"/>
    <cellStyle name="Currency 0" xfId="810" xr:uid="{00000000-0005-0000-0000-0000D10A0000}"/>
    <cellStyle name="Currency 2" xfId="811" xr:uid="{00000000-0005-0000-0000-0000D20A0000}"/>
    <cellStyle name="Currency 2 Total" xfId="812" xr:uid="{00000000-0005-0000-0000-0000D30A0000}"/>
    <cellStyle name="Currency 2 Total 2" xfId="3672" xr:uid="{00000000-0005-0000-0000-0000D40A0000}"/>
    <cellStyle name="Currency 2_Accretion_Dilution" xfId="814" xr:uid="{00000000-0005-0000-0000-0000D60A0000}"/>
    <cellStyle name="Currency 2*" xfId="813" xr:uid="{00000000-0005-0000-0000-0000D50A0000}"/>
    <cellStyle name="Currency 3*" xfId="815" xr:uid="{00000000-0005-0000-0000-0000D70A0000}"/>
    <cellStyle name="Currency dollars[0]" xfId="3608" xr:uid="{00000000-0005-0000-0000-0000D80A0000}"/>
    <cellStyle name="Currency Euros" xfId="816" xr:uid="{00000000-0005-0000-0000-0000D90A0000}"/>
    <cellStyle name="Currency--" xfId="799" xr:uid="{00000000-0005-0000-0000-0000C30A0000}"/>
    <cellStyle name="Currency*" xfId="818" xr:uid="{00000000-0005-0000-0000-0000DB0A0000}"/>
    <cellStyle name="Currency$" xfId="817" xr:uid="{00000000-0005-0000-0000-0000DA0A0000}"/>
    <cellStyle name="Currency0" xfId="819" xr:uid="{00000000-0005-0000-0000-0000DD0A0000}"/>
    <cellStyle name="Currency1" xfId="2260" xr:uid="{00000000-0005-0000-0000-0000DE0A0000}"/>
    <cellStyle name="Currency2" xfId="820" xr:uid="{00000000-0005-0000-0000-0000DF0A0000}"/>
    <cellStyle name="Currencyunder" xfId="3609" xr:uid="{00000000-0005-0000-0000-0000E00A0000}"/>
    <cellStyle name="Currsmall" xfId="2261" xr:uid="{00000000-0005-0000-0000-0000E10A0000}"/>
    <cellStyle name="d" xfId="821" xr:uid="{00000000-0005-0000-0000-0000E20A0000}"/>
    <cellStyle name="d-mmm-yy" xfId="858" xr:uid="{00000000-0005-0000-0000-0000230B0000}"/>
    <cellStyle name="Dash" xfId="822" xr:uid="{00000000-0005-0000-0000-0000E30A0000}"/>
    <cellStyle name="Data" xfId="823" xr:uid="{00000000-0005-0000-0000-0000E40A0000}"/>
    <cellStyle name="Data Link" xfId="2262" xr:uid="{00000000-0005-0000-0000-0000E50A0000}"/>
    <cellStyle name="DataBold" xfId="824" xr:uid="{00000000-0005-0000-0000-0000E60A0000}"/>
    <cellStyle name="Date" xfId="825" xr:uid="{00000000-0005-0000-0000-0000E70A0000}"/>
    <cellStyle name="Date - d-mmm" xfId="3610" xr:uid="{00000000-0005-0000-0000-0000E80A0000}"/>
    <cellStyle name="Date - d-mmm-yy" xfId="3611" xr:uid="{00000000-0005-0000-0000-0000E90A0000}"/>
    <cellStyle name="Date - mmm-yy" xfId="3612" xr:uid="{00000000-0005-0000-0000-0000EA0A0000}"/>
    <cellStyle name="date - Style5" xfId="3613" xr:uid="{00000000-0005-0000-0000-0000EB0A0000}"/>
    <cellStyle name="Date [Abbreviated]" xfId="826" xr:uid="{00000000-0005-0000-0000-0000EC0A0000}"/>
    <cellStyle name="Date [D-M-Y]" xfId="829" xr:uid="{00000000-0005-0000-0000-0000EF0A0000}"/>
    <cellStyle name="Date [d-mmm-yy]" xfId="828" xr:uid="{00000000-0005-0000-0000-0000EE0A0000}"/>
    <cellStyle name="date [dd mmm]" xfId="827" xr:uid="{00000000-0005-0000-0000-0000ED0A0000}"/>
    <cellStyle name="Date [Long Europe]" xfId="830" xr:uid="{00000000-0005-0000-0000-0000F00A0000}"/>
    <cellStyle name="Date [Long U.S.]" xfId="831" xr:uid="{00000000-0005-0000-0000-0000F10A0000}"/>
    <cellStyle name="Date [M-Y]" xfId="841" xr:uid="{00000000-0005-0000-0000-0000FB0A0000}"/>
    <cellStyle name="Date [M/D/Y]" xfId="832" xr:uid="{00000000-0005-0000-0000-0000F20A0000}"/>
    <cellStyle name="Date [M/Y]" xfId="833" xr:uid="{00000000-0005-0000-0000-0000F30A0000}"/>
    <cellStyle name="Date [mm-d-yy]" xfId="834" xr:uid="{00000000-0005-0000-0000-0000F40A0000}"/>
    <cellStyle name="Date [mm-d-yyyy]" xfId="835" xr:uid="{00000000-0005-0000-0000-0000F50A0000}"/>
    <cellStyle name="date [mmm yy]" xfId="836" xr:uid="{00000000-0005-0000-0000-0000F60A0000}"/>
    <cellStyle name="date [mmm yyyy]" xfId="837" xr:uid="{00000000-0005-0000-0000-0000F70A0000}"/>
    <cellStyle name="Date [mmm-d-yyyy]" xfId="838" xr:uid="{00000000-0005-0000-0000-0000F80A0000}"/>
    <cellStyle name="Date [mmm-yy]" xfId="839" xr:uid="{00000000-0005-0000-0000-0000F90A0000}"/>
    <cellStyle name="Date [mmm-yyyy]" xfId="840" xr:uid="{00000000-0005-0000-0000-0000FA0A0000}"/>
    <cellStyle name="Date [Short Europe]" xfId="842" xr:uid="{00000000-0005-0000-0000-0000FC0A0000}"/>
    <cellStyle name="Date [Short U.S.]" xfId="843" xr:uid="{00000000-0005-0000-0000-0000FD0A0000}"/>
    <cellStyle name="Date 2" xfId="3673" xr:uid="{00000000-0005-0000-0000-0000FE0A0000}"/>
    <cellStyle name="Date Aligned" xfId="844" xr:uid="{00000000-0005-0000-0000-0000FF0A0000}"/>
    <cellStyle name="Date Aligned*" xfId="845" xr:uid="{00000000-0005-0000-0000-0000000B0000}"/>
    <cellStyle name="Date dd-mmm" xfId="2263" xr:uid="{00000000-0005-0000-0000-0000020B0000}"/>
    <cellStyle name="Date dd-mmm-yy" xfId="2264" xr:uid="{00000000-0005-0000-0000-0000030B0000}"/>
    <cellStyle name="Date mmm-yy" xfId="2265" xr:uid="{00000000-0005-0000-0000-0000040B0000}"/>
    <cellStyle name="Date Short" xfId="846" xr:uid="{00000000-0005-0000-0000-0000050B0000}"/>
    <cellStyle name="Date_~7573237" xfId="847" xr:uid="{00000000-0005-0000-0000-0000080B0000}"/>
    <cellStyle name="Date, Long" xfId="2266" xr:uid="{00000000-0005-0000-0000-0000060B0000}"/>
    <cellStyle name="Date, Short" xfId="2267" xr:uid="{00000000-0005-0000-0000-0000070B0000}"/>
    <cellStyle name="Date1" xfId="2268" xr:uid="{00000000-0005-0000-0000-0000090B0000}"/>
    <cellStyle name="Date2" xfId="848" xr:uid="{00000000-0005-0000-0000-00000A0B0000}"/>
    <cellStyle name="DateLong" xfId="849" xr:uid="{00000000-0005-0000-0000-00000B0B0000}"/>
    <cellStyle name="Dates" xfId="850" xr:uid="{00000000-0005-0000-0000-00000C0B0000}"/>
    <cellStyle name="DateYear" xfId="851" xr:uid="{00000000-0005-0000-0000-00000D0B0000}"/>
    <cellStyle name="Datum" xfId="2269" xr:uid="{00000000-0005-0000-0000-00000E0B0000}"/>
    <cellStyle name="David" xfId="3614" xr:uid="{00000000-0005-0000-0000-00000F0B0000}"/>
    <cellStyle name="day month" xfId="852" xr:uid="{00000000-0005-0000-0000-0000100B0000}"/>
    <cellStyle name="days" xfId="853" xr:uid="{00000000-0005-0000-0000-0000110B0000}"/>
    <cellStyle name="DblLineDollarAcct" xfId="2270" xr:uid="{00000000-0005-0000-0000-0000120B0000}"/>
    <cellStyle name="DblLinePercent" xfId="2271" xr:uid="{00000000-0005-0000-0000-0000130B0000}"/>
    <cellStyle name="Decimal" xfId="2272" xr:uid="{00000000-0005-0000-0000-0000140B0000}"/>
    <cellStyle name="Decimal (negative)" xfId="2273" xr:uid="{00000000-0005-0000-0000-0000150B0000}"/>
    <cellStyle name="decimal [3]" xfId="854" xr:uid="{00000000-0005-0000-0000-0000160B0000}"/>
    <cellStyle name="decimal [4]" xfId="855" xr:uid="{00000000-0005-0000-0000-0000170B0000}"/>
    <cellStyle name="Decimal 0,0" xfId="3615" xr:uid="{00000000-0005-0000-0000-0000180B0000}"/>
    <cellStyle name="Decimal 0,00" xfId="3616" xr:uid="{00000000-0005-0000-0000-0000190B0000}"/>
    <cellStyle name="Decimal 0,0000" xfId="3617" xr:uid="{00000000-0005-0000-0000-00001A0B0000}"/>
    <cellStyle name="default" xfId="3618" xr:uid="{00000000-0005-0000-0000-00001B0B0000}"/>
    <cellStyle name="Deviant" xfId="2274" xr:uid="{00000000-0005-0000-0000-00001C0B0000}"/>
    <cellStyle name="Dezimal [+line]" xfId="3619" xr:uid="{00000000-0005-0000-0000-00001D0B0000}"/>
    <cellStyle name="Dezimal [0]_ !gesamt planIst 94" xfId="3620" xr:uid="{00000000-0005-0000-0000-00001E0B0000}"/>
    <cellStyle name="Dezimal +" xfId="3621" xr:uid="{00000000-0005-0000-0000-00001F0B0000}"/>
    <cellStyle name="Dezimal + 0" xfId="3622" xr:uid="{00000000-0005-0000-0000-0000200B0000}"/>
    <cellStyle name="Dezimal__Utopia Index Index und Guidance (Deutsch)" xfId="856" xr:uid="{00000000-0005-0000-0000-0000210B0000}"/>
    <cellStyle name="Dia" xfId="857" xr:uid="{00000000-0005-0000-0000-0000220B0000}"/>
    <cellStyle name="Dollar" xfId="859" xr:uid="{00000000-0005-0000-0000-0000240B0000}"/>
    <cellStyle name="Dollar1" xfId="2275" xr:uid="{00000000-0005-0000-0000-0000250B0000}"/>
    <cellStyle name="Dollar1Blue" xfId="2276" xr:uid="{00000000-0005-0000-0000-0000260B0000}"/>
    <cellStyle name="Dollar2" xfId="2277" xr:uid="{00000000-0005-0000-0000-0000270B0000}"/>
    <cellStyle name="DollarAccounting" xfId="2278" xr:uid="{00000000-0005-0000-0000-0000280B0000}"/>
    <cellStyle name="dollars" xfId="860" xr:uid="{00000000-0005-0000-0000-0000290B0000}"/>
    <cellStyle name="Dollars No Decimal" xfId="861" xr:uid="{00000000-0005-0000-0000-00002A0B0000}"/>
    <cellStyle name="Dollars One Decimal" xfId="862" xr:uid="{00000000-0005-0000-0000-00002B0B0000}"/>
    <cellStyle name="Dollars_MD 1 model_blank_Augustin" xfId="863" xr:uid="{00000000-0005-0000-0000-00002C0B0000}"/>
    <cellStyle name="DollarWhole" xfId="864" xr:uid="{00000000-0005-0000-0000-00002D0B0000}"/>
    <cellStyle name="Dotted Line" xfId="865" xr:uid="{00000000-0005-0000-0000-00002E0B0000}"/>
    <cellStyle name="Double Accounting" xfId="866" xr:uid="{00000000-0005-0000-0000-00002F0B0000}"/>
    <cellStyle name="Double Underline" xfId="867" xr:uid="{00000000-0005-0000-0000-0000300B0000}"/>
    <cellStyle name="Download" xfId="868" xr:uid="{00000000-0005-0000-0000-0000310B0000}"/>
    <cellStyle name="Driver" xfId="869" xr:uid="{00000000-0005-0000-0000-0000320B0000}"/>
    <cellStyle name="Driver Lable" xfId="870" xr:uid="{00000000-0005-0000-0000-0000330B0000}"/>
    <cellStyle name="Driver_Feeder" xfId="871" xr:uid="{00000000-0005-0000-0000-0000340B0000}"/>
    <cellStyle name="Encabez1" xfId="872" xr:uid="{00000000-0005-0000-0000-0000350B0000}"/>
    <cellStyle name="Encabez2" xfId="873" xr:uid="{00000000-0005-0000-0000-0000360B0000}"/>
    <cellStyle name="End Table" xfId="874" xr:uid="{00000000-0005-0000-0000-0000370B0000}"/>
    <cellStyle name="Enter Currency (0)" xfId="875" xr:uid="{00000000-0005-0000-0000-0000380B0000}"/>
    <cellStyle name="Enter Currency (2)" xfId="876" xr:uid="{00000000-0005-0000-0000-0000390B0000}"/>
    <cellStyle name="Enter Units (0)" xfId="877" xr:uid="{00000000-0005-0000-0000-00003A0B0000}"/>
    <cellStyle name="Enter Units (1)" xfId="878" xr:uid="{00000000-0005-0000-0000-00003B0B0000}"/>
    <cellStyle name="Enter Units (2)" xfId="879" xr:uid="{00000000-0005-0000-0000-00003C0B0000}"/>
    <cellStyle name="EPS" xfId="880" xr:uid="{00000000-0005-0000-0000-00003D0B0000}"/>
    <cellStyle name="EPSActual" xfId="881" xr:uid="{00000000-0005-0000-0000-00003E0B0000}"/>
    <cellStyle name="EPSEstimate" xfId="882" xr:uid="{00000000-0005-0000-0000-00003F0B0000}"/>
    <cellStyle name="Estimate" xfId="883" xr:uid="{00000000-0005-0000-0000-0000400B0000}"/>
    <cellStyle name="Euro" xfId="884" xr:uid="{00000000-0005-0000-0000-0000410B0000}"/>
    <cellStyle name="Euro Millions" xfId="885" xr:uid="{00000000-0005-0000-0000-0000420B0000}"/>
    <cellStyle name="Euro_Bertelsmann_with Ratings Adj vs.2" xfId="886" xr:uid="{00000000-0005-0000-0000-0000430B0000}"/>
    <cellStyle name="Euros No Decimal" xfId="887" xr:uid="{00000000-0005-0000-0000-0000440B0000}"/>
    <cellStyle name="Euros One Decimal" xfId="888" xr:uid="{00000000-0005-0000-0000-0000450B0000}"/>
    <cellStyle name="EY House" xfId="889" xr:uid="{00000000-0005-0000-0000-0000460B0000}"/>
    <cellStyle name="EY Narrative text" xfId="2279" xr:uid="{00000000-0005-0000-0000-0000470B0000}"/>
    <cellStyle name="EY%colcalc" xfId="890" xr:uid="{00000000-0005-0000-0000-0000480B0000}"/>
    <cellStyle name="EY%input" xfId="891" xr:uid="{00000000-0005-0000-0000-0000490B0000}"/>
    <cellStyle name="EY%rowcalc" xfId="892" xr:uid="{00000000-0005-0000-0000-00004A0B0000}"/>
    <cellStyle name="EY0dp" xfId="893" xr:uid="{00000000-0005-0000-0000-00004B0B0000}"/>
    <cellStyle name="EY1dp" xfId="894" xr:uid="{00000000-0005-0000-0000-00004C0B0000}"/>
    <cellStyle name="EY2dp" xfId="895" xr:uid="{00000000-0005-0000-0000-00004D0B0000}"/>
    <cellStyle name="EY3dp" xfId="896" xr:uid="{00000000-0005-0000-0000-00004E0B0000}"/>
    <cellStyle name="EYChartTitle" xfId="2280" xr:uid="{00000000-0005-0000-0000-00004F0B0000}"/>
    <cellStyle name="EYColumnHeading" xfId="897" xr:uid="{00000000-0005-0000-0000-0000500B0000}"/>
    <cellStyle name="EYColumnHeadingItalic" xfId="2281" xr:uid="{00000000-0005-0000-0000-0000510B0000}"/>
    <cellStyle name="EYCoverDatabookName" xfId="2282" xr:uid="{00000000-0005-0000-0000-0000520B0000}"/>
    <cellStyle name="EYCoverDate" xfId="2283" xr:uid="{00000000-0005-0000-0000-0000530B0000}"/>
    <cellStyle name="EYCoverDraft" xfId="2284" xr:uid="{00000000-0005-0000-0000-0000540B0000}"/>
    <cellStyle name="EYCoverProjectName" xfId="2285" xr:uid="{00000000-0005-0000-0000-0000550B0000}"/>
    <cellStyle name="EYCurrency" xfId="2286" xr:uid="{00000000-0005-0000-0000-0000560B0000}"/>
    <cellStyle name="EYHeading1" xfId="898" xr:uid="{00000000-0005-0000-0000-0000570B0000}"/>
    <cellStyle name="EYheading2" xfId="899" xr:uid="{00000000-0005-0000-0000-0000580B0000}"/>
    <cellStyle name="EYheading3" xfId="900" xr:uid="{00000000-0005-0000-0000-0000590B0000}"/>
    <cellStyle name="EYNotes" xfId="2287" xr:uid="{00000000-0005-0000-0000-00005A0B0000}"/>
    <cellStyle name="EYNotesHeading" xfId="2288" xr:uid="{00000000-0005-0000-0000-00005B0B0000}"/>
    <cellStyle name="EYnumber" xfId="901" xr:uid="{00000000-0005-0000-0000-00005C0B0000}"/>
    <cellStyle name="EYSectionHeading" xfId="2289" xr:uid="{00000000-0005-0000-0000-00005D0B0000}"/>
    <cellStyle name="EYSheetHeader1" xfId="902" xr:uid="{00000000-0005-0000-0000-00005E0B0000}"/>
    <cellStyle name="EYSheetHeading" xfId="2290" xr:uid="{00000000-0005-0000-0000-00005F0B0000}"/>
    <cellStyle name="EYsmallheading" xfId="2291" xr:uid="{00000000-0005-0000-0000-0000600B0000}"/>
    <cellStyle name="EYSource" xfId="2292" xr:uid="{00000000-0005-0000-0000-0000610B0000}"/>
    <cellStyle name="EYtext" xfId="903" xr:uid="{00000000-0005-0000-0000-0000620B0000}"/>
    <cellStyle name="EYtextbold" xfId="2293" xr:uid="{00000000-0005-0000-0000-0000630B0000}"/>
    <cellStyle name="EYtextbolditalic" xfId="2294" xr:uid="{00000000-0005-0000-0000-0000640B0000}"/>
    <cellStyle name="EYtextitalic" xfId="2295" xr:uid="{00000000-0005-0000-0000-0000650B0000}"/>
    <cellStyle name="fact" xfId="904" xr:uid="{00000000-0005-0000-0000-0000660B0000}"/>
    <cellStyle name="Factor" xfId="1746" xr:uid="{00000000-0005-0000-0000-0000670B0000}"/>
    <cellStyle name="Fest" xfId="2296" xr:uid="{00000000-0005-0000-0000-0000680B0000}"/>
    <cellStyle name="Fijo" xfId="905" xr:uid="{00000000-0005-0000-0000-0000690B0000}"/>
    <cellStyle name="Financiero" xfId="906" xr:uid="{00000000-0005-0000-0000-00006A0B0000}"/>
    <cellStyle name="Fixed" xfId="907" xr:uid="{00000000-0005-0000-0000-00006B0B0000}"/>
    <cellStyle name="Fixed [0]" xfId="908" xr:uid="{00000000-0005-0000-0000-00006C0B0000}"/>
    <cellStyle name="Fixed_Bertelsmann_with Ratings Adj vs.2" xfId="909" xr:uid="{00000000-0005-0000-0000-00006D0B0000}"/>
    <cellStyle name="Fixlong" xfId="2297" xr:uid="{00000000-0005-0000-0000-00006E0B0000}"/>
    <cellStyle name="Footer SBILogo1" xfId="910" xr:uid="{00000000-0005-0000-0000-00006F0B0000}"/>
    <cellStyle name="Footer SBILogo2" xfId="911" xr:uid="{00000000-0005-0000-0000-0000700B0000}"/>
    <cellStyle name="Footnote" xfId="912" xr:uid="{00000000-0005-0000-0000-0000710B0000}"/>
    <cellStyle name="Footnote Reference" xfId="913" xr:uid="{00000000-0005-0000-0000-0000720B0000}"/>
    <cellStyle name="Footnote_comments" xfId="914" xr:uid="{00000000-0005-0000-0000-0000730B0000}"/>
    <cellStyle name="Formula" xfId="2298" xr:uid="{00000000-0005-0000-0000-0000740B0000}"/>
    <cellStyle name="Formule" xfId="2299" xr:uid="{00000000-0005-0000-0000-0000750B0000}"/>
    <cellStyle name="Fraction" xfId="915" xr:uid="{00000000-0005-0000-0000-0000760B0000}"/>
    <cellStyle name="Fraction [8]" xfId="916" xr:uid="{00000000-0005-0000-0000-0000770B0000}"/>
    <cellStyle name="Fraction [Bl]" xfId="917" xr:uid="{00000000-0005-0000-0000-0000780B0000}"/>
    <cellStyle name="Fraction_Feeder" xfId="918" xr:uid="{00000000-0005-0000-0000-0000790B0000}"/>
    <cellStyle name="General" xfId="919" xr:uid="{00000000-0005-0000-0000-00007A0B0000}"/>
    <cellStyle name="General [C]" xfId="920" xr:uid="{00000000-0005-0000-0000-00007B0B0000}"/>
    <cellStyle name="General [R]" xfId="921" xr:uid="{00000000-0005-0000-0000-00007C0B0000}"/>
    <cellStyle name="General heading" xfId="3640" xr:uid="{00000000-0005-0000-0000-00007D0B0000}"/>
    <cellStyle name="Global" xfId="922" xr:uid="{00000000-0005-0000-0000-00007E0B0000}"/>
    <cellStyle name="Grey" xfId="923" xr:uid="{00000000-0005-0000-0000-00007F0B0000}"/>
    <cellStyle name="GrowthRate" xfId="924" xr:uid="{00000000-0005-0000-0000-0000800B0000}"/>
    <cellStyle name="GrowthSeq" xfId="925" xr:uid="{00000000-0005-0000-0000-0000810B0000}"/>
    <cellStyle name="GWN Table Body" xfId="2300" xr:uid="{00000000-0005-0000-0000-0000820B0000}"/>
    <cellStyle name="GWN Table Header" xfId="2301" xr:uid="{00000000-0005-0000-0000-0000830B0000}"/>
    <cellStyle name="GWN Table Left Header" xfId="2302" xr:uid="{00000000-0005-0000-0000-0000840B0000}"/>
    <cellStyle name="GWN Table Note" xfId="2303" xr:uid="{00000000-0005-0000-0000-0000850B0000}"/>
    <cellStyle name="GWN Table Title" xfId="2304" xr:uid="{00000000-0005-0000-0000-0000860B0000}"/>
    <cellStyle name="H 2" xfId="2305" xr:uid="{00000000-0005-0000-0000-0000870B0000}"/>
    <cellStyle name="H Acct 1" xfId="926" xr:uid="{00000000-0005-0000-0000-0000880B0000}"/>
    <cellStyle name="H Acct 1,$" xfId="927" xr:uid="{00000000-0005-0000-0000-0000890B0000}"/>
    <cellStyle name="haeding 2" xfId="928" xr:uid="{00000000-0005-0000-0000-00008B0B0000}"/>
    <cellStyle name="hard" xfId="929" xr:uid="{00000000-0005-0000-0000-00008C0B0000}"/>
    <cellStyle name="Hard code" xfId="930" xr:uid="{00000000-0005-0000-0000-00008D0B0000}"/>
    <cellStyle name="Hard code %" xfId="931" xr:uid="{00000000-0005-0000-0000-00008E0B0000}"/>
    <cellStyle name="Hard code_5y FVebitda" xfId="932" xr:uid="{00000000-0005-0000-0000-00008F0B0000}"/>
    <cellStyle name="Hard nb" xfId="933" xr:uid="{00000000-0005-0000-0000-0000900B0000}"/>
    <cellStyle name="hard no" xfId="934" xr:uid="{00000000-0005-0000-0000-0000910B0000}"/>
    <cellStyle name="hard no." xfId="935" xr:uid="{00000000-0005-0000-0000-0000920B0000}"/>
    <cellStyle name="Hard Percent" xfId="936" xr:uid="{00000000-0005-0000-0000-0000930B0000}"/>
    <cellStyle name="hard_5y FVebitda" xfId="937" xr:uid="{00000000-0005-0000-0000-0000940B0000}"/>
    <cellStyle name="Hardcode 2" xfId="3809" xr:uid="{00000000-0005-0000-0000-0000950B0000}"/>
    <cellStyle name="Hardcoded" xfId="938" xr:uid="{00000000-0005-0000-0000-0000960B0000}"/>
    <cellStyle name="hardno" xfId="2306" xr:uid="{00000000-0005-0000-0000-0000970B0000}"/>
    <cellStyle name="head1" xfId="939" xr:uid="{00000000-0005-0000-0000-0000980B0000}"/>
    <cellStyle name="head2" xfId="940" xr:uid="{00000000-0005-0000-0000-0000990B0000}"/>
    <cellStyle name="Header" xfId="941" xr:uid="{00000000-0005-0000-0000-00009A0B0000}"/>
    <cellStyle name="header 2" xfId="1697" xr:uid="{00000000-0005-0000-0000-00009B0B0000}"/>
    <cellStyle name="Header Draft Stamp" xfId="942" xr:uid="{00000000-0005-0000-0000-00009C0B0000}"/>
    <cellStyle name="Header_LBO" xfId="943" xr:uid="{00000000-0005-0000-0000-00009D0B0000}"/>
    <cellStyle name="Header1" xfId="944" xr:uid="{00000000-0005-0000-0000-00009E0B0000}"/>
    <cellStyle name="Header2" xfId="945" xr:uid="{00000000-0005-0000-0000-00009F0B0000}"/>
    <cellStyle name="Heading" xfId="946" xr:uid="{00000000-0005-0000-0000-0000A00B0000}"/>
    <cellStyle name="Heading 1" xfId="3628" builtinId="16"/>
    <cellStyle name="Heading 1 Above" xfId="947" xr:uid="{00000000-0005-0000-0000-0000A20B0000}"/>
    <cellStyle name="Heading 1+" xfId="948" xr:uid="{00000000-0005-0000-0000-0000A30B0000}"/>
    <cellStyle name="Heading 2 2" xfId="3641" xr:uid="{00000000-0005-0000-0000-0000A40B0000}"/>
    <cellStyle name="Heading 2 Below" xfId="949" xr:uid="{00000000-0005-0000-0000-0000A50B0000}"/>
    <cellStyle name="Heading 2+" xfId="950" xr:uid="{00000000-0005-0000-0000-0000A60B0000}"/>
    <cellStyle name="Heading 3+" xfId="951" xr:uid="{00000000-0005-0000-0000-0000A70B0000}"/>
    <cellStyle name="Heading 5" xfId="952" xr:uid="{00000000-0005-0000-0000-0000A80B0000}"/>
    <cellStyle name="Heading1" xfId="953" xr:uid="{00000000-0005-0000-0000-0000A90B0000}"/>
    <cellStyle name="Heading2" xfId="954" xr:uid="{00000000-0005-0000-0000-0000AA0B0000}"/>
    <cellStyle name="Heading3" xfId="955" xr:uid="{00000000-0005-0000-0000-0000AB0B0000}"/>
    <cellStyle name="Hidden" xfId="956" xr:uid="{00000000-0005-0000-0000-0000AC0B0000}"/>
    <cellStyle name="hide" xfId="957" xr:uid="{00000000-0005-0000-0000-0000AD0B0000}"/>
    <cellStyle name="Highlight" xfId="958" xr:uid="{00000000-0005-0000-0000-0000AE0B0000}"/>
    <cellStyle name="Hist_perc" xfId="959" xr:uid="{00000000-0005-0000-0000-0000AF0B0000}"/>
    <cellStyle name="Historic" xfId="960" xr:uid="{00000000-0005-0000-0000-0000B00B0000}"/>
    <cellStyle name="Historical" xfId="3642" xr:uid="{00000000-0005-0000-0000-0000B10B0000}"/>
    <cellStyle name="historical #" xfId="961" xr:uid="{00000000-0005-0000-0000-0000B20B0000}"/>
    <cellStyle name="historical %" xfId="962" xr:uid="{00000000-0005-0000-0000-0000B30B0000}"/>
    <cellStyle name="ht" xfId="963" xr:uid="{00000000-0005-0000-0000-0000B40B0000}"/>
    <cellStyle name="Hyperlink" xfId="1" builtinId="8" customBuiltin="1"/>
    <cellStyle name="IBESInput" xfId="964" xr:uid="{00000000-0005-0000-0000-0000B60B0000}"/>
    <cellStyle name="Important" xfId="2307" xr:uid="{00000000-0005-0000-0000-0000B70B0000}"/>
    <cellStyle name="Imput" xfId="965" xr:uid="{00000000-0005-0000-0000-0000B80B0000}"/>
    <cellStyle name="IncomeStatement" xfId="966" xr:uid="{00000000-0005-0000-0000-0000B90B0000}"/>
    <cellStyle name="Indent1" xfId="2308" xr:uid="{00000000-0005-0000-0000-0000BA0B0000}"/>
    <cellStyle name="Indented [0]" xfId="967" xr:uid="{00000000-0005-0000-0000-0000BB0B0000}"/>
    <cellStyle name="Indented [2]" xfId="968" xr:uid="{00000000-0005-0000-0000-0000BC0B0000}"/>
    <cellStyle name="Indented [4]" xfId="969" xr:uid="{00000000-0005-0000-0000-0000BD0B0000}"/>
    <cellStyle name="Indented [6]" xfId="970" xr:uid="{00000000-0005-0000-0000-0000BE0B0000}"/>
    <cellStyle name="inpt" xfId="971" xr:uid="{00000000-0005-0000-0000-0000BF0B0000}"/>
    <cellStyle name="Input [yellow]" xfId="974" xr:uid="{00000000-0005-0000-0000-0000C20B0000}"/>
    <cellStyle name="Input %" xfId="972" xr:uid="{00000000-0005-0000-0000-0000C00B0000}"/>
    <cellStyle name="Input % (1dp)" xfId="973" xr:uid="{00000000-0005-0000-0000-0000C10B0000}"/>
    <cellStyle name="Input 0" xfId="975" xr:uid="{00000000-0005-0000-0000-0000C30B0000}"/>
    <cellStyle name="Input 0,0" xfId="976" xr:uid="{00000000-0005-0000-0000-0000C40B0000}"/>
    <cellStyle name="Input 10" xfId="1710" xr:uid="{00000000-0005-0000-0000-0000C50B0000}"/>
    <cellStyle name="Input 10 2" xfId="3704" xr:uid="{00000000-0005-0000-0000-0000C60B0000}"/>
    <cellStyle name="Input 11" xfId="1730" xr:uid="{00000000-0005-0000-0000-0000C70B0000}"/>
    <cellStyle name="Input 11 2" xfId="3709" xr:uid="{00000000-0005-0000-0000-0000C80B0000}"/>
    <cellStyle name="Input 12" xfId="1731" xr:uid="{00000000-0005-0000-0000-0000C90B0000}"/>
    <cellStyle name="Input 12 2" xfId="3710" xr:uid="{00000000-0005-0000-0000-0000CA0B0000}"/>
    <cellStyle name="Input 13" xfId="1738" xr:uid="{00000000-0005-0000-0000-0000CB0B0000}"/>
    <cellStyle name="Input 13 2" xfId="3711" xr:uid="{00000000-0005-0000-0000-0000CC0B0000}"/>
    <cellStyle name="Input 14" xfId="1739" xr:uid="{00000000-0005-0000-0000-0000CD0B0000}"/>
    <cellStyle name="Input 14 2" xfId="3712" xr:uid="{00000000-0005-0000-0000-0000CE0B0000}"/>
    <cellStyle name="Input 2" xfId="1687" xr:uid="{00000000-0005-0000-0000-0000CF0B0000}"/>
    <cellStyle name="Input 2 2" xfId="3699" xr:uid="{00000000-0005-0000-0000-0000D00B0000}"/>
    <cellStyle name="Input 3" xfId="1698" xr:uid="{00000000-0005-0000-0000-0000D10B0000}"/>
    <cellStyle name="Input 3 2" xfId="3701" xr:uid="{00000000-0005-0000-0000-0000D20B0000}"/>
    <cellStyle name="Input 4" xfId="1702" xr:uid="{00000000-0005-0000-0000-0000D30B0000}"/>
    <cellStyle name="Input 4 2" xfId="3702" xr:uid="{00000000-0005-0000-0000-0000D40B0000}"/>
    <cellStyle name="Input 5" xfId="1703" xr:uid="{00000000-0005-0000-0000-0000D50B0000}"/>
    <cellStyle name="Input 5 2" xfId="3703" xr:uid="{00000000-0005-0000-0000-0000D60B0000}"/>
    <cellStyle name="Input 6" xfId="1719" xr:uid="{00000000-0005-0000-0000-0000D70B0000}"/>
    <cellStyle name="Input 6 2" xfId="3707" xr:uid="{00000000-0005-0000-0000-0000D80B0000}"/>
    <cellStyle name="Input 7" xfId="1725" xr:uid="{00000000-0005-0000-0000-0000D90B0000}"/>
    <cellStyle name="Input 7 2" xfId="3708" xr:uid="{00000000-0005-0000-0000-0000DA0B0000}"/>
    <cellStyle name="Input 8" xfId="1712" xr:uid="{00000000-0005-0000-0000-0000DB0B0000}"/>
    <cellStyle name="Input 8 2" xfId="3705" xr:uid="{00000000-0005-0000-0000-0000DC0B0000}"/>
    <cellStyle name="Input 9" xfId="1713" xr:uid="{00000000-0005-0000-0000-0000DD0B0000}"/>
    <cellStyle name="Input 9 2" xfId="3706" xr:uid="{00000000-0005-0000-0000-0000DE0B0000}"/>
    <cellStyle name="Input Cells" xfId="1747" xr:uid="{00000000-0005-0000-0000-0000DF0B0000}"/>
    <cellStyle name="Input comma" xfId="977" xr:uid="{00000000-0005-0000-0000-0000E00B0000}"/>
    <cellStyle name="Input Currency" xfId="978" xr:uid="{00000000-0005-0000-0000-0000E10B0000}"/>
    <cellStyle name="Input Date" xfId="979" xr:uid="{00000000-0005-0000-0000-0000E20B0000}"/>
    <cellStyle name="Input Fixed [0]" xfId="980" xr:uid="{00000000-0005-0000-0000-0000E30B0000}"/>
    <cellStyle name="Input Link" xfId="981" xr:uid="{00000000-0005-0000-0000-0000E40B0000}"/>
    <cellStyle name="Input multiple" xfId="982" xr:uid="{00000000-0005-0000-0000-0000E50B0000}"/>
    <cellStyle name="Input Normal" xfId="983" xr:uid="{00000000-0005-0000-0000-0000E60B0000}"/>
    <cellStyle name="Input Number" xfId="3643" xr:uid="{00000000-0005-0000-0000-0000E70B0000}"/>
    <cellStyle name="Input number (0dp)" xfId="984" xr:uid="{00000000-0005-0000-0000-0000E80B0000}"/>
    <cellStyle name="Input number (1dp)" xfId="985" xr:uid="{00000000-0005-0000-0000-0000E90B0000}"/>
    <cellStyle name="Input Number Normal" xfId="986" xr:uid="{00000000-0005-0000-0000-0000EA0B0000}"/>
    <cellStyle name="Input Percent" xfId="987" xr:uid="{00000000-0005-0000-0000-0000EB0B0000}"/>
    <cellStyle name="Input Percent [2]" xfId="988" xr:uid="{00000000-0005-0000-0000-0000EC0B0000}"/>
    <cellStyle name="Input Percent_Bertelsmann_with Ratings Adj vs.2" xfId="989" xr:uid="{00000000-0005-0000-0000-0000ED0B0000}"/>
    <cellStyle name="Input Titles" xfId="990" xr:uid="{00000000-0005-0000-0000-0000EE0B0000}"/>
    <cellStyle name="Input%" xfId="992" xr:uid="{00000000-0005-0000-0000-0000F00B0000}"/>
    <cellStyle name="Input$" xfId="991" xr:uid="{00000000-0005-0000-0000-0000EF0B0000}"/>
    <cellStyle name="Input0dec" xfId="993" xr:uid="{00000000-0005-0000-0000-0000F10B0000}"/>
    <cellStyle name="Input2dec" xfId="994" xr:uid="{00000000-0005-0000-0000-0000F20B0000}"/>
    <cellStyle name="InputBlueFont" xfId="995" xr:uid="{00000000-0005-0000-0000-0000F30B0000}"/>
    <cellStyle name="InputBlueFontLocked" xfId="996" xr:uid="{00000000-0005-0000-0000-0000F40B0000}"/>
    <cellStyle name="InputCurrency" xfId="997" xr:uid="{00000000-0005-0000-0000-0000F50B0000}"/>
    <cellStyle name="InputCurrency2" xfId="998" xr:uid="{00000000-0005-0000-0000-0000F60B0000}"/>
    <cellStyle name="InputDate" xfId="999" xr:uid="{00000000-0005-0000-0000-0000F70B0000}"/>
    <cellStyle name="InputDate 2" xfId="3674" xr:uid="{00000000-0005-0000-0000-0000F80B0000}"/>
    <cellStyle name="InputHead" xfId="1000" xr:uid="{00000000-0005-0000-0000-0000F90B0000}"/>
    <cellStyle name="InputMultiple1" xfId="1001" xr:uid="{00000000-0005-0000-0000-0000FA0B0000}"/>
    <cellStyle name="InputPercent" xfId="1002" xr:uid="{00000000-0005-0000-0000-0000FB0B0000}"/>
    <cellStyle name="InputPercent1" xfId="1003" xr:uid="{00000000-0005-0000-0000-0000FC0B0000}"/>
    <cellStyle name="InputPop" xfId="1004" xr:uid="{00000000-0005-0000-0000-0000FD0B0000}"/>
    <cellStyle name="Integer" xfId="1005" xr:uid="{00000000-0005-0000-0000-0000FE0B0000}"/>
    <cellStyle name="Item" xfId="1006" xr:uid="{00000000-0005-0000-0000-0000FF0B0000}"/>
    <cellStyle name="ItemTypeClass" xfId="1007" xr:uid="{00000000-0005-0000-0000-0000000C0000}"/>
    <cellStyle name="Komma [0]_laroux" xfId="1008" xr:uid="{00000000-0005-0000-0000-0000010C0000}"/>
    <cellStyle name="Komma_laroux" xfId="1009" xr:uid="{00000000-0005-0000-0000-0000020C0000}"/>
    <cellStyle name="KPMG Heading 1" xfId="1010" xr:uid="{00000000-0005-0000-0000-0000030C0000}"/>
    <cellStyle name="KPMG Heading 2" xfId="1011" xr:uid="{00000000-0005-0000-0000-0000040C0000}"/>
    <cellStyle name="KPMG Heading 3" xfId="1012" xr:uid="{00000000-0005-0000-0000-0000050C0000}"/>
    <cellStyle name="KPMG Heading 4" xfId="1013" xr:uid="{00000000-0005-0000-0000-0000060C0000}"/>
    <cellStyle name="KPMG Normal" xfId="1014" xr:uid="{00000000-0005-0000-0000-0000070C0000}"/>
    <cellStyle name="KPMG Normal Text" xfId="1015" xr:uid="{00000000-0005-0000-0000-0000080C0000}"/>
    <cellStyle name="ligne_detail" xfId="1016" xr:uid="{00000000-0005-0000-0000-0000090C0000}"/>
    <cellStyle name="Line" xfId="1017" xr:uid="{00000000-0005-0000-0000-00000A0C0000}"/>
    <cellStyle name="Link" xfId="1018" xr:uid="{00000000-0005-0000-0000-00000B0C0000}"/>
    <cellStyle name="Link Currency (0)" xfId="1019" xr:uid="{00000000-0005-0000-0000-00000C0C0000}"/>
    <cellStyle name="Link Currency (2)" xfId="1020" xr:uid="{00000000-0005-0000-0000-00000D0C0000}"/>
    <cellStyle name="Link Units (0)" xfId="1021" xr:uid="{00000000-0005-0000-0000-00000E0C0000}"/>
    <cellStyle name="Link Units (1)" xfId="1022" xr:uid="{00000000-0005-0000-0000-00000F0C0000}"/>
    <cellStyle name="Link Units (2)" xfId="1023" xr:uid="{00000000-0005-0000-0000-0000100C0000}"/>
    <cellStyle name="Locked" xfId="1024" xr:uid="{00000000-0005-0000-0000-0000110C0000}"/>
    <cellStyle name="lpt" xfId="1025" xr:uid="{00000000-0005-0000-0000-0000120C0000}"/>
    <cellStyle name="lspt" xfId="1026" xr:uid="{00000000-0005-0000-0000-0000130C0000}"/>
    <cellStyle name="m" xfId="1027" xr:uid="{00000000-0005-0000-0000-0000140C0000}"/>
    <cellStyle name="m/d/yy" xfId="1028" xr:uid="{00000000-0005-0000-0000-0000150C0000}"/>
    <cellStyle name="m1" xfId="1029" xr:uid="{00000000-0005-0000-0000-0000160C0000}"/>
    <cellStyle name="Main item" xfId="1030" xr:uid="{00000000-0005-0000-0000-0000170C0000}"/>
    <cellStyle name="Main Title" xfId="1031" xr:uid="{00000000-0005-0000-0000-0000180C0000}"/>
    <cellStyle name="Margins" xfId="1032" xr:uid="{00000000-0005-0000-0000-0000190C0000}"/>
    <cellStyle name="Migliaia (0)" xfId="1033" xr:uid="{00000000-0005-0000-0000-00001A0C0000}"/>
    <cellStyle name="Migliaia_AdR prelim valuation 010130 base case Ver5 Final" xfId="1034" xr:uid="{00000000-0005-0000-0000-00001B0C0000}"/>
    <cellStyle name="Millares [0]_Asset Mgmt " xfId="1689" xr:uid="{00000000-0005-0000-0000-00001C0C0000}"/>
    <cellStyle name="Millares_Asset Mgmt " xfId="1690" xr:uid="{00000000-0005-0000-0000-00001D0C0000}"/>
    <cellStyle name="Milliers [0]_AR1194" xfId="1035" xr:uid="{00000000-0005-0000-0000-00001E0C0000}"/>
    <cellStyle name="Milliers_AR1194" xfId="1036" xr:uid="{00000000-0005-0000-0000-00001F0C0000}"/>
    <cellStyle name="million" xfId="1037" xr:uid="{00000000-0005-0000-0000-0000200C0000}"/>
    <cellStyle name="million [1]" xfId="1038" xr:uid="{00000000-0005-0000-0000-0000210C0000}"/>
    <cellStyle name="million_DCF" xfId="1039" xr:uid="{00000000-0005-0000-0000-0000220C0000}"/>
    <cellStyle name="millions" xfId="1040" xr:uid="{00000000-0005-0000-0000-0000230C0000}"/>
    <cellStyle name="MLComma0" xfId="1041" xr:uid="{00000000-0005-0000-0000-0000240C0000}"/>
    <cellStyle name="MLDollar0" xfId="1042" xr:uid="{00000000-0005-0000-0000-0000250C0000}"/>
    <cellStyle name="MLEuro0" xfId="1043" xr:uid="{00000000-0005-0000-0000-0000260C0000}"/>
    <cellStyle name="MLMultiple0" xfId="1044" xr:uid="{00000000-0005-0000-0000-0000270C0000}"/>
    <cellStyle name="MLPercent0" xfId="1045" xr:uid="{00000000-0005-0000-0000-0000280C0000}"/>
    <cellStyle name="MLPound0" xfId="1046" xr:uid="{00000000-0005-0000-0000-0000290C0000}"/>
    <cellStyle name="MLYen0" xfId="1047" xr:uid="{00000000-0005-0000-0000-00002A0C0000}"/>
    <cellStyle name="mod1" xfId="1048" xr:uid="{00000000-0005-0000-0000-00002B0C0000}"/>
    <cellStyle name="model" xfId="1049" xr:uid="{00000000-0005-0000-0000-00002C0C0000}"/>
    <cellStyle name="modelo1" xfId="1050" xr:uid="{00000000-0005-0000-0000-00002D0C0000}"/>
    <cellStyle name="Moneda [0]_Asset Mgmt " xfId="1691" xr:uid="{00000000-0005-0000-0000-00002E0C0000}"/>
    <cellStyle name="Moneda_Asset Mgmt " xfId="1692" xr:uid="{00000000-0005-0000-0000-00002F0C0000}"/>
    <cellStyle name="Monétaire [0]_AR1194" xfId="1051" xr:uid="{00000000-0005-0000-0000-0000300C0000}"/>
    <cellStyle name="Monétaire_AR1194" xfId="1052" xr:uid="{00000000-0005-0000-0000-0000310C0000}"/>
    <cellStyle name="Monetario" xfId="1053" xr:uid="{00000000-0005-0000-0000-0000320C0000}"/>
    <cellStyle name="Money" xfId="1054" xr:uid="{00000000-0005-0000-0000-0000330C0000}"/>
    <cellStyle name="month" xfId="1055" xr:uid="{00000000-0005-0000-0000-0000340C0000}"/>
    <cellStyle name="MonthYears" xfId="1056" xr:uid="{00000000-0005-0000-0000-0000350C0000}"/>
    <cellStyle name="Morgan" xfId="1057" xr:uid="{00000000-0005-0000-0000-0000360C0000}"/>
    <cellStyle name="Multiple" xfId="1058" xr:uid="{00000000-0005-0000-0000-0000370C0000}"/>
    <cellStyle name="Multiple [0]" xfId="1059" xr:uid="{00000000-0005-0000-0000-0000380C0000}"/>
    <cellStyle name="Multiple [1]" xfId="1060" xr:uid="{00000000-0005-0000-0000-0000390C0000}"/>
    <cellStyle name="Multiple_detailed bank case 21 3 05" xfId="1061" xr:uid="{00000000-0005-0000-0000-00003A0C0000}"/>
    <cellStyle name="Multiple1" xfId="1062" xr:uid="{00000000-0005-0000-0000-00003B0C0000}"/>
    <cellStyle name="MultipleBelow" xfId="1063" xr:uid="{00000000-0005-0000-0000-00003C0C0000}"/>
    <cellStyle name="MultipleDouble" xfId="1064" xr:uid="{00000000-0005-0000-0000-00003D0C0000}"/>
    <cellStyle name="MultipleInput" xfId="1065" xr:uid="{00000000-0005-0000-0000-00003E0C0000}"/>
    <cellStyle name="MultipleInput 2" xfId="3675" xr:uid="{00000000-0005-0000-0000-00003F0C0000}"/>
    <cellStyle name="Multiples1" xfId="1066" xr:uid="{00000000-0005-0000-0000-0000400C0000}"/>
    <cellStyle name="n" xfId="1693" xr:uid="{00000000-0005-0000-0000-0000410C0000}"/>
    <cellStyle name="n0" xfId="1067" xr:uid="{00000000-0005-0000-0000-0000420C0000}"/>
    <cellStyle name="n1" xfId="1068" xr:uid="{00000000-0005-0000-0000-0000430C0000}"/>
    <cellStyle name="n2" xfId="1069" xr:uid="{00000000-0005-0000-0000-0000440C0000}"/>
    <cellStyle name="NA is zero" xfId="1070" xr:uid="{00000000-0005-0000-0000-0000450C0000}"/>
    <cellStyle name="Name" xfId="1071" xr:uid="{00000000-0005-0000-0000-0000460C0000}"/>
    <cellStyle name="NivelFila_2_Consejo2001" xfId="1072" xr:uid="{00000000-0005-0000-0000-0000470C0000}"/>
    <cellStyle name="No Border" xfId="1073" xr:uid="{00000000-0005-0000-0000-0000480C0000}"/>
    <cellStyle name="no dec" xfId="1074" xr:uid="{00000000-0005-0000-0000-0000490C0000}"/>
    <cellStyle name="No Decimal" xfId="1075" xr:uid="{00000000-0005-0000-0000-00004A0C0000}"/>
    <cellStyle name="No.s to 1dp" xfId="1076" xr:uid="{00000000-0005-0000-0000-00004B0C0000}"/>
    <cellStyle name="NORAYAS" xfId="1077" xr:uid="{00000000-0005-0000-0000-00004C0C0000}"/>
    <cellStyle name="Norm" xfId="1078" xr:uid="{00000000-0005-0000-0000-00004D0C0000}"/>
    <cellStyle name="norma;l" xfId="1079" xr:uid="{00000000-0005-0000-0000-00004E0C0000}"/>
    <cellStyle name="norma;l 2" xfId="3676" xr:uid="{00000000-0005-0000-0000-00004F0C0000}"/>
    <cellStyle name="Normal" xfId="0" builtinId="0"/>
    <cellStyle name="Normal - Style1" xfId="1081" xr:uid="{00000000-0005-0000-0000-0000520C0000}"/>
    <cellStyle name="Normal (no,)" xfId="1082" xr:uid="{00000000-0005-0000-0000-0000530C0000}"/>
    <cellStyle name="Normal [0]" xfId="1083" xr:uid="{00000000-0005-0000-0000-0000540C0000}"/>
    <cellStyle name="Normal [1]" xfId="1084" xr:uid="{00000000-0005-0000-0000-0000550C0000}"/>
    <cellStyle name="Normal [2]" xfId="1085" xr:uid="{00000000-0005-0000-0000-0000560C0000}"/>
    <cellStyle name="Normal [3]" xfId="1086" xr:uid="{00000000-0005-0000-0000-0000570C0000}"/>
    <cellStyle name="normal [zero]" xfId="1087" xr:uid="{00000000-0005-0000-0000-0000580C0000}"/>
    <cellStyle name="Normal 10" xfId="1716" xr:uid="{00000000-0005-0000-0000-0000590C0000}"/>
    <cellStyle name="Normal 11" xfId="1717" xr:uid="{00000000-0005-0000-0000-00005A0C0000}"/>
    <cellStyle name="Normal 12" xfId="1728" xr:uid="{00000000-0005-0000-0000-00005B0C0000}"/>
    <cellStyle name="Normal 13" xfId="1734" xr:uid="{00000000-0005-0000-0000-00005C0C0000}"/>
    <cellStyle name="Normal 14" xfId="1736" xr:uid="{00000000-0005-0000-0000-00005D0C0000}"/>
    <cellStyle name="Normal 15" xfId="1742" xr:uid="{00000000-0005-0000-0000-00005E0C0000}"/>
    <cellStyle name="Normal 16" xfId="2310" xr:uid="{00000000-0005-0000-0000-00005F0C0000}"/>
    <cellStyle name="Normal 16 2" xfId="3715" xr:uid="{00000000-0005-0000-0000-0000600C0000}"/>
    <cellStyle name="Normal 2" xfId="3" xr:uid="{00000000-0005-0000-0000-0000610C0000}"/>
    <cellStyle name="Normal 2 2" xfId="1686" xr:uid="{00000000-0005-0000-0000-0000620C0000}"/>
    <cellStyle name="Normal 2 3" xfId="1699" xr:uid="{00000000-0005-0000-0000-0000630C0000}"/>
    <cellStyle name="Normal 3" xfId="7" xr:uid="{00000000-0005-0000-0000-0000640C0000}"/>
    <cellStyle name="Normal 4" xfId="1694" xr:uid="{00000000-0005-0000-0000-0000650C0000}"/>
    <cellStyle name="Normal 5" xfId="1695" xr:uid="{00000000-0005-0000-0000-0000660C0000}"/>
    <cellStyle name="Normal 5 3" xfId="3623" xr:uid="{00000000-0005-0000-0000-0000670C0000}"/>
    <cellStyle name="Normal 6" xfId="1705" xr:uid="{00000000-0005-0000-0000-0000680C0000}"/>
    <cellStyle name="Normal 7" xfId="1721" xr:uid="{00000000-0005-0000-0000-0000690C0000}"/>
    <cellStyle name="Normal 8" xfId="1723" xr:uid="{00000000-0005-0000-0000-00006A0C0000}"/>
    <cellStyle name="Normal 9" xfId="1708" xr:uid="{00000000-0005-0000-0000-00006B0C0000}"/>
    <cellStyle name="Normal Bold" xfId="1088" xr:uid="{00000000-0005-0000-0000-00006C0C0000}"/>
    <cellStyle name="Normal Italics" xfId="1089" xr:uid="{00000000-0005-0000-0000-00006D0C0000}"/>
    <cellStyle name="Normal Pct" xfId="1090" xr:uid="{00000000-0005-0000-0000-00006E0C0000}"/>
    <cellStyle name="Normal_Copy of Rank Model - 230108 VB" xfId="2311" xr:uid="{00000000-0005-0000-0000-0000720C0000}"/>
    <cellStyle name="Normal_Southern Cross LBO v9" xfId="2" xr:uid="{00000000-0005-0000-0000-0000730C0000}"/>
    <cellStyle name="Normal--" xfId="1080" xr:uid="{00000000-0005-0000-0000-0000510C0000}"/>
    <cellStyle name="normal;" xfId="1092" xr:uid="{00000000-0005-0000-0000-0000700C0000}"/>
    <cellStyle name="normal; 2" xfId="3677" xr:uid="{00000000-0005-0000-0000-0000710C0000}"/>
    <cellStyle name="Normal%Input" xfId="1091" xr:uid="{00000000-0005-0000-0000-00006F0C0000}"/>
    <cellStyle name="Normal2" xfId="1093" xr:uid="{00000000-0005-0000-0000-0000740C0000}"/>
    <cellStyle name="NormalBold" xfId="1094" xr:uid="{00000000-0005-0000-0000-0000750C0000}"/>
    <cellStyle name="NormalE" xfId="1095" xr:uid="{00000000-0005-0000-0000-0000760C0000}"/>
    <cellStyle name="NormalGB" xfId="1096" xr:uid="{00000000-0005-0000-0000-0000770C0000}"/>
    <cellStyle name="NormalMultiple" xfId="1097" xr:uid="{00000000-0005-0000-0000-0000780C0000}"/>
    <cellStyle name="NormalNumber" xfId="1098" xr:uid="{00000000-0005-0000-0000-0000790C0000}"/>
    <cellStyle name="Normalny_LTP2001 MIS (1) " xfId="1099" xr:uid="{00000000-0005-0000-0000-00007A0C0000}"/>
    <cellStyle name="NormalPerso" xfId="1100" xr:uid="{00000000-0005-0000-0000-00007B0C0000}"/>
    <cellStyle name="Normalx" xfId="1101" xr:uid="{00000000-0005-0000-0000-00007C0C0000}"/>
    <cellStyle name="NormalxShadow" xfId="1102" xr:uid="{00000000-0005-0000-0000-00007D0C0000}"/>
    <cellStyle name="Notes" xfId="1103" xr:uid="{00000000-0005-0000-0000-00007E0C0000}"/>
    <cellStyle name="NPPESalesPct" xfId="1104" xr:uid="{00000000-0005-0000-0000-00007F0C0000}"/>
    <cellStyle name="Number" xfId="1105" xr:uid="{00000000-0005-0000-0000-0000800C0000}"/>
    <cellStyle name="Number [0]" xfId="1106" xr:uid="{00000000-0005-0000-0000-0000810C0000}"/>
    <cellStyle name="Number 2" xfId="3678" xr:uid="{00000000-0005-0000-0000-0000820C0000}"/>
    <cellStyle name="Number_M&amp;A Model" xfId="1107" xr:uid="{00000000-0005-0000-0000-0000830C0000}"/>
    <cellStyle name="NWI%S" xfId="1108" xr:uid="{00000000-0005-0000-0000-0000840C0000}"/>
    <cellStyle name="Œ…‹æØ‚è [0.00]_GE 3 MINIMUM" xfId="1109" xr:uid="{00000000-0005-0000-0000-0000850C0000}"/>
    <cellStyle name="Œ…‹æØ‚è_GE 3 MINIMUM" xfId="1110" xr:uid="{00000000-0005-0000-0000-0000860C0000}"/>
    <cellStyle name="One Decimal" xfId="1111" xr:uid="{00000000-0005-0000-0000-0000870C0000}"/>
    <cellStyle name="onedec" xfId="1112" xr:uid="{00000000-0005-0000-0000-0000880C0000}"/>
    <cellStyle name="Option" xfId="1113" xr:uid="{00000000-0005-0000-0000-0000890C0000}"/>
    <cellStyle name="outh America" xfId="1114" xr:uid="{00000000-0005-0000-0000-00008A0C0000}"/>
    <cellStyle name="Output (0dp#)" xfId="1115" xr:uid="{00000000-0005-0000-0000-00008B0C0000}"/>
    <cellStyle name="Output (0dp%)" xfId="1116" xr:uid="{00000000-0005-0000-0000-00008C0C0000}"/>
    <cellStyle name="Output (1dp#)" xfId="1117" xr:uid="{00000000-0005-0000-0000-00008D0C0000}"/>
    <cellStyle name="Output (1dp%)" xfId="1118" xr:uid="{00000000-0005-0000-0000-00008E0C0000}"/>
    <cellStyle name="Output (1dpx)" xfId="1119" xr:uid="{00000000-0005-0000-0000-00008F0C0000}"/>
    <cellStyle name="Output (2dp#)" xfId="1120" xr:uid="{00000000-0005-0000-0000-0000900C0000}"/>
    <cellStyle name="Output Labels" xfId="1121" xr:uid="{00000000-0005-0000-0000-0000910C0000}"/>
    <cellStyle name="OutputPct" xfId="1122" xr:uid="{00000000-0005-0000-0000-0000920C0000}"/>
    <cellStyle name="Outputs (Locked)" xfId="1123" xr:uid="{00000000-0005-0000-0000-0000930C0000}"/>
    <cellStyle name="OVER" xfId="1124" xr:uid="{00000000-0005-0000-0000-0000940C0000}"/>
    <cellStyle name="p" xfId="1125" xr:uid="{00000000-0005-0000-0000-0000950C0000}"/>
    <cellStyle name="p_DCF" xfId="1127" xr:uid="{00000000-0005-0000-0000-0000970C0000}"/>
    <cellStyle name="p_DCF_M&amp;A Model" xfId="1128" xr:uid="{00000000-0005-0000-0000-0000980C0000}"/>
    <cellStyle name="p_DCF_SHIT" xfId="1129" xr:uid="{00000000-0005-0000-0000-0000990C0000}"/>
    <cellStyle name="p_DCF_SHIT_M&amp;A Model" xfId="1130" xr:uid="{00000000-0005-0000-0000-00009A0C0000}"/>
    <cellStyle name="p_DCF_VERA_2" xfId="1131" xr:uid="{00000000-0005-0000-0000-00009B0C0000}"/>
    <cellStyle name="p_DCF_VERA_2_M&amp;A Model" xfId="1132" xr:uid="{00000000-0005-0000-0000-00009C0C0000}"/>
    <cellStyle name="p_M&amp;A Model" xfId="1133" xr:uid="{00000000-0005-0000-0000-00009D0C0000}"/>
    <cellStyle name="p_M&amp;A Model 2" xfId="3679" xr:uid="{00000000-0005-0000-0000-00009E0C0000}"/>
    <cellStyle name="p_M&amp;A projections" xfId="1134" xr:uid="{00000000-0005-0000-0000-00009F0C0000}"/>
    <cellStyle name="p_M&amp;A projections 2" xfId="3680" xr:uid="{00000000-0005-0000-0000-0000A00C0000}"/>
    <cellStyle name="p_SHIT" xfId="1135" xr:uid="{00000000-0005-0000-0000-0000A10C0000}"/>
    <cellStyle name="p_SHIT_M&amp;A Model" xfId="1136" xr:uid="{00000000-0005-0000-0000-0000A20C0000}"/>
    <cellStyle name="p_VERA" xfId="1137" xr:uid="{00000000-0005-0000-0000-0000A30C0000}"/>
    <cellStyle name="p_VERA_1" xfId="1138" xr:uid="{00000000-0005-0000-0000-0000A40C0000}"/>
    <cellStyle name="p_VERA_1_M&amp;A Model" xfId="1139" xr:uid="{00000000-0005-0000-0000-0000A50C0000}"/>
    <cellStyle name="p_VERA_2" xfId="1140" xr:uid="{00000000-0005-0000-0000-0000A60C0000}"/>
    <cellStyle name="p_VERA_2_M&amp;A Model" xfId="1141" xr:uid="{00000000-0005-0000-0000-0000A70C0000}"/>
    <cellStyle name="p_xMidcap4_24" xfId="1142" xr:uid="{00000000-0005-0000-0000-0000A80C0000}"/>
    <cellStyle name="p_xMidcap4_24_M&amp;A Model" xfId="1143" xr:uid="{00000000-0005-0000-0000-0000A90C0000}"/>
    <cellStyle name="P&amp;L Numbers" xfId="1126" xr:uid="{00000000-0005-0000-0000-0000960C0000}"/>
    <cellStyle name="p1" xfId="1144" xr:uid="{00000000-0005-0000-0000-0000AA0C0000}"/>
    <cellStyle name="Page break" xfId="1145" xr:uid="{00000000-0005-0000-0000-0000AB0C0000}"/>
    <cellStyle name="Page Heading" xfId="1146" xr:uid="{00000000-0005-0000-0000-0000AC0C0000}"/>
    <cellStyle name="Page Heading Large" xfId="1147" xr:uid="{00000000-0005-0000-0000-0000AD0C0000}"/>
    <cellStyle name="Page Heading Small" xfId="1148" xr:uid="{00000000-0005-0000-0000-0000AE0C0000}"/>
    <cellStyle name="Page Number" xfId="1149" xr:uid="{00000000-0005-0000-0000-0000AF0C0000}"/>
    <cellStyle name="Pattern" xfId="1150" xr:uid="{00000000-0005-0000-0000-0000B00C0000}"/>
    <cellStyle name="patterns" xfId="1151" xr:uid="{00000000-0005-0000-0000-0000B10C0000}"/>
    <cellStyle name="pc1" xfId="1152" xr:uid="{00000000-0005-0000-0000-0000B20C0000}"/>
    <cellStyle name="pcent" xfId="1153" xr:uid="{00000000-0005-0000-0000-0000B30C0000}"/>
    <cellStyle name="Pct 1" xfId="1154" xr:uid="{00000000-0005-0000-0000-0000B40C0000}"/>
    <cellStyle name="pct_sub" xfId="1155" xr:uid="{00000000-0005-0000-0000-0000B50C0000}"/>
    <cellStyle name="Pctdec1itals" xfId="1156" xr:uid="{00000000-0005-0000-0000-0000B60C0000}"/>
    <cellStyle name="pd" xfId="1157" xr:uid="{00000000-0005-0000-0000-0000B70C0000}"/>
    <cellStyle name="pe" xfId="1158" xr:uid="{00000000-0005-0000-0000-0000B80C0000}"/>
    <cellStyle name="Pence" xfId="1159" xr:uid="{00000000-0005-0000-0000-0000B90C0000}"/>
    <cellStyle name="pence [0]" xfId="1160" xr:uid="{00000000-0005-0000-0000-0000BA0C0000}"/>
    <cellStyle name="pence [1]" xfId="1161" xr:uid="{00000000-0005-0000-0000-0000BB0C0000}"/>
    <cellStyle name="pence_DCF" xfId="1162" xr:uid="{00000000-0005-0000-0000-0000BC0C0000}"/>
    <cellStyle name="per" xfId="1163" xr:uid="{00000000-0005-0000-0000-0000BD0C0000}"/>
    <cellStyle name="Per cent" xfId="2309" builtinId="5"/>
    <cellStyle name="per.style" xfId="1748" xr:uid="{00000000-0005-0000-0000-0000BE0C0000}"/>
    <cellStyle name="percemt" xfId="1164" xr:uid="{00000000-0005-0000-0000-0000BF0C0000}"/>
    <cellStyle name="percemt 2" xfId="3681" xr:uid="{00000000-0005-0000-0000-0000C00C0000}"/>
    <cellStyle name="Percent (0.0)" xfId="1165" xr:uid="{00000000-0005-0000-0000-0000C20C0000}"/>
    <cellStyle name="Percent (0.00)" xfId="1166" xr:uid="{00000000-0005-0000-0000-0000C30C0000}"/>
    <cellStyle name="Percent (1)" xfId="1167" xr:uid="{00000000-0005-0000-0000-0000C40C0000}"/>
    <cellStyle name="Percent [0]" xfId="1168" xr:uid="{00000000-0005-0000-0000-0000C50C0000}"/>
    <cellStyle name="Percent [0] Total" xfId="1169" xr:uid="{00000000-0005-0000-0000-0000C60C0000}"/>
    <cellStyle name="Percent [0] Total 2" xfId="3682" xr:uid="{00000000-0005-0000-0000-0000C70C0000}"/>
    <cellStyle name="Percent [0]_comparison" xfId="1170" xr:uid="{00000000-0005-0000-0000-0000C80C0000}"/>
    <cellStyle name="Percent [00]" xfId="1171" xr:uid="{00000000-0005-0000-0000-0000C90C0000}"/>
    <cellStyle name="Percent [00] 2" xfId="3683" xr:uid="{00000000-0005-0000-0000-0000CA0C0000}"/>
    <cellStyle name="percent [1-]" xfId="1173" xr:uid="{00000000-0005-0000-0000-0000CC0C0000}"/>
    <cellStyle name="Percent [1]" xfId="1172" xr:uid="{00000000-0005-0000-0000-0000CB0C0000}"/>
    <cellStyle name="Percent [1] --" xfId="1174" xr:uid="{00000000-0005-0000-0000-0000CD0C0000}"/>
    <cellStyle name="Percent [1] Total" xfId="1175" xr:uid="{00000000-0005-0000-0000-0000CE0C0000}"/>
    <cellStyle name="Percent [1] Total 2" xfId="3684" xr:uid="{00000000-0005-0000-0000-0000CF0C0000}"/>
    <cellStyle name="Percent [1]_Base acqfin hybrid model_S3" xfId="1176" xr:uid="{00000000-0005-0000-0000-0000D00C0000}"/>
    <cellStyle name="percent [100]" xfId="1177" xr:uid="{00000000-0005-0000-0000-0000D10C0000}"/>
    <cellStyle name="Percent [2]" xfId="1178" xr:uid="{00000000-0005-0000-0000-0000D20C0000}"/>
    <cellStyle name="Percent [2] Total" xfId="1179" xr:uid="{00000000-0005-0000-0000-0000D30C0000}"/>
    <cellStyle name="Percent [2] Total 2" xfId="3685" xr:uid="{00000000-0005-0000-0000-0000D40C0000}"/>
    <cellStyle name="Percent [2]_57 Project Fly (2)" xfId="1180" xr:uid="{00000000-0005-0000-0000-0000D50C0000}"/>
    <cellStyle name="Percent [3]" xfId="1181" xr:uid="{00000000-0005-0000-0000-0000D60C0000}"/>
    <cellStyle name="Percent [3]--" xfId="1182" xr:uid="{00000000-0005-0000-0000-0000D70C0000}"/>
    <cellStyle name="Percent [4]" xfId="1183" xr:uid="{00000000-0005-0000-0000-0000D90C0000}"/>
    <cellStyle name="Percent 0" xfId="1184" xr:uid="{00000000-0005-0000-0000-0000DA0C0000}"/>
    <cellStyle name="Percent 0.00" xfId="1185" xr:uid="{00000000-0005-0000-0000-0000DB0C0000}"/>
    <cellStyle name="Percent 10" xfId="1727" xr:uid="{00000000-0005-0000-0000-0000DD0C0000}"/>
    <cellStyle name="Percent 11" xfId="1733" xr:uid="{00000000-0005-0000-0000-0000DE0C0000}"/>
    <cellStyle name="Percent 12" xfId="1735" xr:uid="{00000000-0005-0000-0000-0000DF0C0000}"/>
    <cellStyle name="Percent 13" xfId="1741" xr:uid="{00000000-0005-0000-0000-0000E00C0000}"/>
    <cellStyle name="Percent 14" xfId="1743" xr:uid="{00000000-0005-0000-0000-0000E10C0000}"/>
    <cellStyle name="Percent 2" xfId="5" xr:uid="{00000000-0005-0000-0000-0000E20C0000}"/>
    <cellStyle name="Percent 3" xfId="1700" xr:uid="{00000000-0005-0000-0000-0000E30C0000}"/>
    <cellStyle name="Percent 4" xfId="1706" xr:uid="{00000000-0005-0000-0000-0000E40C0000}"/>
    <cellStyle name="Percent 5" xfId="1707" xr:uid="{00000000-0005-0000-0000-0000E50C0000}"/>
    <cellStyle name="Percent 6" xfId="1722" xr:uid="{00000000-0005-0000-0000-0000E60C0000}"/>
    <cellStyle name="Percent 7" xfId="1726" xr:uid="{00000000-0005-0000-0000-0000E70C0000}"/>
    <cellStyle name="Percent 8" xfId="1715" xr:uid="{00000000-0005-0000-0000-0000E80C0000}"/>
    <cellStyle name="Percent 9" xfId="1718" xr:uid="{00000000-0005-0000-0000-0000E90C0000}"/>
    <cellStyle name="Percent Comma" xfId="1186" xr:uid="{00000000-0005-0000-0000-0000EA0C0000}"/>
    <cellStyle name="percent har" xfId="1187" xr:uid="{00000000-0005-0000-0000-0000EB0C0000}"/>
    <cellStyle name="Percent Hard" xfId="1188" xr:uid="{00000000-0005-0000-0000-0000EC0C0000}"/>
    <cellStyle name="Percent Input" xfId="1189" xr:uid="{00000000-0005-0000-0000-0000ED0C0000}"/>
    <cellStyle name="Percent SuppCalc (0.0)" xfId="1190" xr:uid="{00000000-0005-0000-0000-0000EE0C0000}"/>
    <cellStyle name="Percent SuppCalc Input (0.0)" xfId="1191" xr:uid="{00000000-0005-0000-0000-0000EF0C0000}"/>
    <cellStyle name="Percent*" xfId="1192" xr:uid="{00000000-0005-0000-0000-0000F00C0000}"/>
    <cellStyle name="Percent1" xfId="1193" xr:uid="{00000000-0005-0000-0000-0000F10C0000}"/>
    <cellStyle name="Percent1Blue" xfId="1194" xr:uid="{00000000-0005-0000-0000-0000F20C0000}"/>
    <cellStyle name="Percent2" xfId="1195" xr:uid="{00000000-0005-0000-0000-0000F30C0000}"/>
    <cellStyle name="Percent2Blue" xfId="1196" xr:uid="{00000000-0005-0000-0000-0000F40C0000}"/>
    <cellStyle name="Percentage" xfId="1197" xr:uid="{00000000-0005-0000-0000-0000F50C0000}"/>
    <cellStyle name="PercentChange" xfId="1198" xr:uid="{00000000-0005-0000-0000-0000F60C0000}"/>
    <cellStyle name="PercentPerso" xfId="1199" xr:uid="{00000000-0005-0000-0000-0000F70C0000}"/>
    <cellStyle name="PercentPresentation" xfId="1200" xr:uid="{00000000-0005-0000-0000-0000F80C0000}"/>
    <cellStyle name="PercentSales" xfId="1201" xr:uid="{00000000-0005-0000-0000-0000F90C0000}"/>
    <cellStyle name="Percentuale_AAON_summary_Kevin" xfId="1202" xr:uid="{00000000-0005-0000-0000-0000FA0C0000}"/>
    <cellStyle name="percnet" xfId="1203" xr:uid="{00000000-0005-0000-0000-0000FB0C0000}"/>
    <cellStyle name="percnet 2" xfId="3686" xr:uid="{00000000-0005-0000-0000-0000FC0C0000}"/>
    <cellStyle name="perecent" xfId="1204" xr:uid="{00000000-0005-0000-0000-0000FD0C0000}"/>
    <cellStyle name="Period" xfId="1205" xr:uid="{00000000-0005-0000-0000-0000FE0C0000}"/>
    <cellStyle name="Perlong" xfId="1206" xr:uid="{00000000-0005-0000-0000-0000FF0C0000}"/>
    <cellStyle name="PerShare" xfId="1207" xr:uid="{00000000-0005-0000-0000-0000000D0000}"/>
    <cellStyle name="pf" xfId="1208" xr:uid="{00000000-0005-0000-0000-0000010D0000}"/>
    <cellStyle name="PLAN1" xfId="1209" xr:uid="{00000000-0005-0000-0000-0000020D0000}"/>
    <cellStyle name="POPS" xfId="1210" xr:uid="{00000000-0005-0000-0000-0000030D0000}"/>
    <cellStyle name="Porcentaje" xfId="1211" xr:uid="{00000000-0005-0000-0000-0000040D0000}"/>
    <cellStyle name="Porcentual_CAPEX_Acea_Alcatel_2505" xfId="1212" xr:uid="{00000000-0005-0000-0000-0000050D0000}"/>
    <cellStyle name="Pound" xfId="1213" xr:uid="{00000000-0005-0000-0000-0000060D0000}"/>
    <cellStyle name="Pound [1]" xfId="1214" xr:uid="{00000000-0005-0000-0000-0000070D0000}"/>
    <cellStyle name="Pound [2]" xfId="1215" xr:uid="{00000000-0005-0000-0000-0000080D0000}"/>
    <cellStyle name="Pounds No Decimal" xfId="1216" xr:uid="{00000000-0005-0000-0000-0000090D0000}"/>
    <cellStyle name="Pounds Total 2" xfId="1217" xr:uid="{00000000-0005-0000-0000-00000A0D0000}"/>
    <cellStyle name="Pounds Total 2 2" xfId="3687" xr:uid="{00000000-0005-0000-0000-00000B0D0000}"/>
    <cellStyle name="pp" xfId="1218" xr:uid="{00000000-0005-0000-0000-00000C0D0000}"/>
    <cellStyle name="ppp" xfId="1219" xr:uid="{00000000-0005-0000-0000-00000D0D0000}"/>
    <cellStyle name="PrePop Currency (0)" xfId="1220" xr:uid="{00000000-0005-0000-0000-00000E0D0000}"/>
    <cellStyle name="PrePop Currency (2)" xfId="1221" xr:uid="{00000000-0005-0000-0000-00000F0D0000}"/>
    <cellStyle name="PrePop Units (0)" xfId="1222" xr:uid="{00000000-0005-0000-0000-0000100D0000}"/>
    <cellStyle name="PrePop Units (1)" xfId="1223" xr:uid="{00000000-0005-0000-0000-0000110D0000}"/>
    <cellStyle name="PrePop Units (2)" xfId="1224" xr:uid="{00000000-0005-0000-0000-0000120D0000}"/>
    <cellStyle name="Presentation" xfId="1225" xr:uid="{00000000-0005-0000-0000-0000130D0000}"/>
    <cellStyle name="PresentationZero" xfId="1226" xr:uid="{00000000-0005-0000-0000-0000140D0000}"/>
    <cellStyle name="Price" xfId="1227" xr:uid="{00000000-0005-0000-0000-0000150D0000}"/>
    <cellStyle name="Private" xfId="1228" xr:uid="{00000000-0005-0000-0000-0000160D0000}"/>
    <cellStyle name="Private1" xfId="1229" xr:uid="{00000000-0005-0000-0000-0000170D0000}"/>
    <cellStyle name="Profit figure" xfId="1230" xr:uid="{00000000-0005-0000-0000-0000180D0000}"/>
    <cellStyle name="Proj" xfId="1231" xr:uid="{00000000-0005-0000-0000-0000190D0000}"/>
    <cellStyle name="pt" xfId="1232" xr:uid="{00000000-0005-0000-0000-00001A0D0000}"/>
    <cellStyle name="ptit" xfId="1233" xr:uid="{00000000-0005-0000-0000-00001B0D0000}"/>
    <cellStyle name="r" xfId="1234" xr:uid="{00000000-0005-0000-0000-00001C0D0000}"/>
    <cellStyle name="Range" xfId="1235" xr:uid="{00000000-0005-0000-0000-00001D0D0000}"/>
    <cellStyle name="rat" xfId="1236" xr:uid="{00000000-0005-0000-0000-00001E0D0000}"/>
    <cellStyle name="rate" xfId="1237" xr:uid="{00000000-0005-0000-0000-00001F0D0000}"/>
    <cellStyle name="Ratio" xfId="1238" xr:uid="{00000000-0005-0000-0000-0000200D0000}"/>
    <cellStyle name="Ratio Comma" xfId="1239" xr:uid="{00000000-0005-0000-0000-0000210D0000}"/>
    <cellStyle name="Ratio_57 Project Fly (2)" xfId="1240" xr:uid="{00000000-0005-0000-0000-0000220D0000}"/>
    <cellStyle name="RatioX" xfId="1241" xr:uid="{00000000-0005-0000-0000-0000230D0000}"/>
    <cellStyle name="red" xfId="1242" xr:uid="{00000000-0005-0000-0000-0000240D0000}"/>
    <cellStyle name="Red Box" xfId="1243" xr:uid="{00000000-0005-0000-0000-0000250D0000}"/>
    <cellStyle name="Red font" xfId="1244" xr:uid="{00000000-0005-0000-0000-0000260D0000}"/>
    <cellStyle name="Red Text" xfId="1245" xr:uid="{00000000-0005-0000-0000-0000270D0000}"/>
    <cellStyle name="Report" xfId="1246" xr:uid="{00000000-0005-0000-0000-0000280D0000}"/>
    <cellStyle name="Results % 0 dp" xfId="1247" xr:uid="{00000000-0005-0000-0000-0000290D0000}"/>
    <cellStyle name="Results % 1 dp" xfId="1248" xr:uid="{00000000-0005-0000-0000-00002A0D0000}"/>
    <cellStyle name="Results % 2 dp" xfId="1249" xr:uid="{00000000-0005-0000-0000-00002B0D0000}"/>
    <cellStyle name="Results % 3 dp" xfId="1250" xr:uid="{00000000-0005-0000-0000-00002C0D0000}"/>
    <cellStyle name="Results 0 dp" xfId="1251" xr:uid="{00000000-0005-0000-0000-00002D0D0000}"/>
    <cellStyle name="Results 1 dp" xfId="1252" xr:uid="{00000000-0005-0000-0000-00002E0D0000}"/>
    <cellStyle name="Results 2 dp" xfId="1253" xr:uid="{00000000-0005-0000-0000-00002F0D0000}"/>
    <cellStyle name="Results 3 dp" xfId="1254" xr:uid="{00000000-0005-0000-0000-0000300D0000}"/>
    <cellStyle name="Results x 1 dp" xfId="1255" xr:uid="{00000000-0005-0000-0000-0000310D0000}"/>
    <cellStyle name="Results x 2 dp" xfId="1256" xr:uid="{00000000-0005-0000-0000-0000320D0000}"/>
    <cellStyle name="Right" xfId="1257" xr:uid="{00000000-0005-0000-0000-0000330D0000}"/>
    <cellStyle name="Rounding" xfId="1258" xr:uid="{00000000-0005-0000-0000-0000340D0000}"/>
    <cellStyle name="Row Heading" xfId="1259" xr:uid="{00000000-0005-0000-0000-0000350D0000}"/>
    <cellStyle name="Row Headings" xfId="1260" xr:uid="{00000000-0005-0000-0000-0000360D0000}"/>
    <cellStyle name="Row Title 1" xfId="1261" xr:uid="{00000000-0005-0000-0000-0000370D0000}"/>
    <cellStyle name="Row Title 2" xfId="1262" xr:uid="{00000000-0005-0000-0000-0000380D0000}"/>
    <cellStyle name="Row Title 3" xfId="1263" xr:uid="{00000000-0005-0000-0000-0000390D0000}"/>
    <cellStyle name="Row Total" xfId="1264" xr:uid="{00000000-0005-0000-0000-00003A0D0000}"/>
    <cellStyle name="RowHead" xfId="1265" xr:uid="{00000000-0005-0000-0000-00003B0D0000}"/>
    <cellStyle name="RowHeading" xfId="1266" xr:uid="{00000000-0005-0000-0000-00003C0D0000}"/>
    <cellStyle name="s" xfId="1267" xr:uid="{00000000-0005-0000-0000-00003D0D0000}"/>
    <cellStyle name="s_Accretion (2)" xfId="1268" xr:uid="{00000000-0005-0000-0000-00003E0D0000}"/>
    <cellStyle name="s_Accretion (2)_1" xfId="1269" xr:uid="{00000000-0005-0000-0000-00003F0D0000}"/>
    <cellStyle name="s_Accretion (2)_2" xfId="1270" xr:uid="{00000000-0005-0000-0000-0000400D0000}"/>
    <cellStyle name="s_ad3" xfId="1271" xr:uid="{00000000-0005-0000-0000-0000410D0000}"/>
    <cellStyle name="s_ad3_1" xfId="1272" xr:uid="{00000000-0005-0000-0000-0000420D0000}"/>
    <cellStyle name="s_ad3_2" xfId="1273" xr:uid="{00000000-0005-0000-0000-0000430D0000}"/>
    <cellStyle name="s_ad5" xfId="1274" xr:uid="{00000000-0005-0000-0000-0000440D0000}"/>
    <cellStyle name="s_ad5_1" xfId="1275" xr:uid="{00000000-0005-0000-0000-0000450D0000}"/>
    <cellStyle name="s_AdditionalPrint Code" xfId="1276" xr:uid="{00000000-0005-0000-0000-0000460D0000}"/>
    <cellStyle name="s_AdditionalPrint Code_1" xfId="1277" xr:uid="{00000000-0005-0000-0000-0000470D0000}"/>
    <cellStyle name="s_asko1" xfId="1278" xr:uid="{00000000-0005-0000-0000-0000480D0000}"/>
    <cellStyle name="s_asko1_1" xfId="1279" xr:uid="{00000000-0005-0000-0000-0000490D0000}"/>
    <cellStyle name="s_Assumptions" xfId="1280" xr:uid="{00000000-0005-0000-0000-00004A0D0000}"/>
    <cellStyle name="s_B_S_Ratios _B" xfId="1281" xr:uid="{00000000-0005-0000-0000-00004B0D0000}"/>
    <cellStyle name="s_B_S_Ratios_T" xfId="1282" xr:uid="{00000000-0005-0000-0000-00004C0D0000}"/>
    <cellStyle name="s_Bal Sheets (2)" xfId="1283" xr:uid="{00000000-0005-0000-0000-00004D0D0000}"/>
    <cellStyle name="s_Bal Sheets (2)_1" xfId="1284" xr:uid="{00000000-0005-0000-0000-00004E0D0000}"/>
    <cellStyle name="s_Bal Sheets (2)_2" xfId="1285" xr:uid="{00000000-0005-0000-0000-00004F0D0000}"/>
    <cellStyle name="s_btr_2" xfId="1286" xr:uid="{00000000-0005-0000-0000-0000500D0000}"/>
    <cellStyle name="s_btr_2_1" xfId="1287" xr:uid="{00000000-0005-0000-0000-0000510D0000}"/>
    <cellStyle name="s_btr_2_2" xfId="1288" xr:uid="{00000000-0005-0000-0000-0000520D0000}"/>
    <cellStyle name="s_btr_3" xfId="1289" xr:uid="{00000000-0005-0000-0000-0000530D0000}"/>
    <cellStyle name="s_btr_3_1" xfId="1290" xr:uid="{00000000-0005-0000-0000-0000540D0000}"/>
    <cellStyle name="s_Bullet model 122" xfId="1291" xr:uid="{00000000-0005-0000-0000-0000550D0000}"/>
    <cellStyle name="s_Buy Back Model_adapted" xfId="1292" xr:uid="{00000000-0005-0000-0000-0000560D0000}"/>
    <cellStyle name="s_Cases (2)" xfId="1293" xr:uid="{00000000-0005-0000-0000-0000570D0000}"/>
    <cellStyle name="s_Cases (2)_1" xfId="1294" xr:uid="{00000000-0005-0000-0000-0000580D0000}"/>
    <cellStyle name="s_Cases (2)_1_M&amp;A Model" xfId="1295" xr:uid="{00000000-0005-0000-0000-0000590D0000}"/>
    <cellStyle name="s_Cases (2)_1_M&amp;A projections" xfId="1296" xr:uid="{00000000-0005-0000-0000-00005A0D0000}"/>
    <cellStyle name="s_Cases (2)_2" xfId="1297" xr:uid="{00000000-0005-0000-0000-00005B0D0000}"/>
    <cellStyle name="s_Cases (2)_M&amp;A Model" xfId="1298" xr:uid="{00000000-0005-0000-0000-00005C0D0000}"/>
    <cellStyle name="s_Cases (2)_M&amp;A projections" xfId="1299" xr:uid="{00000000-0005-0000-0000-00005D0D0000}"/>
    <cellStyle name="s_Cases (3)" xfId="1300" xr:uid="{00000000-0005-0000-0000-00005E0D0000}"/>
    <cellStyle name="s_Cases (3)_1" xfId="1301" xr:uid="{00000000-0005-0000-0000-00005F0D0000}"/>
    <cellStyle name="s_Cases (3)_2" xfId="1302" xr:uid="{00000000-0005-0000-0000-0000600D0000}"/>
    <cellStyle name="s_Cases (4)" xfId="1303" xr:uid="{00000000-0005-0000-0000-0000610D0000}"/>
    <cellStyle name="s_Cases (4)_1" xfId="1304" xr:uid="{00000000-0005-0000-0000-0000620D0000}"/>
    <cellStyle name="s_Crown" xfId="1305" xr:uid="{00000000-0005-0000-0000-0000630D0000}"/>
    <cellStyle name="s_Crown_1" xfId="1306" xr:uid="{00000000-0005-0000-0000-0000640D0000}"/>
    <cellStyle name="s_Crown_2" xfId="1307" xr:uid="{00000000-0005-0000-0000-0000650D0000}"/>
    <cellStyle name="s_dccmod1" xfId="1308" xr:uid="{00000000-0005-0000-0000-0000660D0000}"/>
    <cellStyle name="s_dccmod1_1" xfId="1309" xr:uid="{00000000-0005-0000-0000-0000670D0000}"/>
    <cellStyle name="s_dccmod1_2" xfId="1310" xr:uid="{00000000-0005-0000-0000-0000680D0000}"/>
    <cellStyle name="s_dcf" xfId="1311" xr:uid="{00000000-0005-0000-0000-0000690D0000}"/>
    <cellStyle name="s_DCF Matrix (2)" xfId="1312" xr:uid="{00000000-0005-0000-0000-00006A0D0000}"/>
    <cellStyle name="s_DCF Matrix (2)_1" xfId="1313" xr:uid="{00000000-0005-0000-0000-00006B0D0000}"/>
    <cellStyle name="s_DCF Matrix (3)" xfId="1314" xr:uid="{00000000-0005-0000-0000-00006C0D0000}"/>
    <cellStyle name="s_DCF Matrix (3)_1" xfId="1315" xr:uid="{00000000-0005-0000-0000-00006D0D0000}"/>
    <cellStyle name="s_DCF Matrix (4)" xfId="1316" xr:uid="{00000000-0005-0000-0000-00006E0D0000}"/>
    <cellStyle name="s_DCF Matrix (4)_1" xfId="1317" xr:uid="{00000000-0005-0000-0000-00006F0D0000}"/>
    <cellStyle name="s_DCF Matrix (4)_2" xfId="1318" xr:uid="{00000000-0005-0000-0000-0000700D0000}"/>
    <cellStyle name="s_dcf_1" xfId="1319" xr:uid="{00000000-0005-0000-0000-0000710D0000}"/>
    <cellStyle name="s_DCFLBO Code" xfId="1320" xr:uid="{00000000-0005-0000-0000-0000720D0000}"/>
    <cellStyle name="s_DCFLBO Code_1" xfId="1321" xr:uid="{00000000-0005-0000-0000-0000730D0000}"/>
    <cellStyle name="s_Definc_dcf_Industries_270301_ma" xfId="1322" xr:uid="{00000000-0005-0000-0000-0000740D0000}"/>
    <cellStyle name="s_Dilution" xfId="1323" xr:uid="{00000000-0005-0000-0000-0000750D0000}"/>
    <cellStyle name="s_DMPR Sale (2)" xfId="1324" xr:uid="{00000000-0005-0000-0000-0000760D0000}"/>
    <cellStyle name="s_Earn-out (2)" xfId="1334" xr:uid="{00000000-0005-0000-0000-0000800D0000}"/>
    <cellStyle name="s_Earn-out (2)_1" xfId="1335" xr:uid="{00000000-0005-0000-0000-0000810D0000}"/>
    <cellStyle name="s_Earnings (2)" xfId="1325" xr:uid="{00000000-0005-0000-0000-0000770D0000}"/>
    <cellStyle name="s_Earnings (2)_1" xfId="1326" xr:uid="{00000000-0005-0000-0000-0000780D0000}"/>
    <cellStyle name="s_Earnings (2)_1_M&amp;A Model" xfId="1327" xr:uid="{00000000-0005-0000-0000-0000790D0000}"/>
    <cellStyle name="s_Earnings (2)_1_M&amp;A projections" xfId="1328" xr:uid="{00000000-0005-0000-0000-00007A0D0000}"/>
    <cellStyle name="s_Earnings (2)_2" xfId="1329" xr:uid="{00000000-0005-0000-0000-00007B0D0000}"/>
    <cellStyle name="s_Earnings (2)_2_M&amp;A Model" xfId="1330" xr:uid="{00000000-0005-0000-0000-00007C0D0000}"/>
    <cellStyle name="s_Earnings (2)_2_M&amp;A projections" xfId="1331" xr:uid="{00000000-0005-0000-0000-00007D0D0000}"/>
    <cellStyle name="s_Earnings (2)_M&amp;A Model" xfId="1332" xr:uid="{00000000-0005-0000-0000-00007E0D0000}"/>
    <cellStyle name="s_Earnings (2)_M&amp;A projections" xfId="1333" xr:uid="{00000000-0005-0000-0000-00007F0D0000}"/>
    <cellStyle name="s_Euro 2 (2)" xfId="1336" xr:uid="{00000000-0005-0000-0000-0000820D0000}"/>
    <cellStyle name="s_Euro 2 (2)_1" xfId="1337" xr:uid="{00000000-0005-0000-0000-0000830D0000}"/>
    <cellStyle name="s_Euro PICS (2)" xfId="1338" xr:uid="{00000000-0005-0000-0000-0000840D0000}"/>
    <cellStyle name="s_Euro PICS (2)_1" xfId="1339" xr:uid="{00000000-0005-0000-0000-0000850D0000}"/>
    <cellStyle name="s_Euro PICS (3)" xfId="1340" xr:uid="{00000000-0005-0000-0000-0000860D0000}"/>
    <cellStyle name="s_Euro PICS (3)_1" xfId="1341" xr:uid="{00000000-0005-0000-0000-0000870D0000}"/>
    <cellStyle name="s_Europe (2)" xfId="1342" xr:uid="{00000000-0005-0000-0000-0000880D0000}"/>
    <cellStyle name="s_Europe (2)_1" xfId="1343" xr:uid="{00000000-0005-0000-0000-0000890D0000}"/>
    <cellStyle name="s_Europe (2)_2" xfId="1344" xr:uid="{00000000-0005-0000-0000-00008A0D0000}"/>
    <cellStyle name="s_Final Model2" xfId="1345" xr:uid="{00000000-0005-0000-0000-00008B0D0000}"/>
    <cellStyle name="s_Final Model2_1" xfId="1346" xr:uid="{00000000-0005-0000-0000-00008C0D0000}"/>
    <cellStyle name="s_FINALWOOLMODEL" xfId="1347" xr:uid="{00000000-0005-0000-0000-00008D0D0000}"/>
    <cellStyle name="s_Financials_B" xfId="1348" xr:uid="{00000000-0005-0000-0000-00008E0D0000}"/>
    <cellStyle name="s_Financials_T" xfId="1349" xr:uid="{00000000-0005-0000-0000-00008F0D0000}"/>
    <cellStyle name="s_Grandvision_LBO2" xfId="1350" xr:uid="{00000000-0005-0000-0000-0000900D0000}"/>
    <cellStyle name="s_Grouse+Pelican" xfId="1351" xr:uid="{00000000-0005-0000-0000-0000910D0000}"/>
    <cellStyle name="s_Hist Inputs (2)" xfId="1352" xr:uid="{00000000-0005-0000-0000-0000920D0000}"/>
    <cellStyle name="s_Hist Inputs (2)_1" xfId="1353" xr:uid="{00000000-0005-0000-0000-0000930D0000}"/>
    <cellStyle name="s_Hist Inputs (3)" xfId="1354" xr:uid="{00000000-0005-0000-0000-0000940D0000}"/>
    <cellStyle name="s_Hist Inputs (3)_1" xfId="1355" xr:uid="{00000000-0005-0000-0000-0000950D0000}"/>
    <cellStyle name="s_Hist Inputs (4)" xfId="1356" xr:uid="{00000000-0005-0000-0000-0000960D0000}"/>
    <cellStyle name="s_Hist Inputs (4)_1" xfId="1357" xr:uid="{00000000-0005-0000-0000-0000970D0000}"/>
    <cellStyle name="s_LBO" xfId="1358" xr:uid="{00000000-0005-0000-0000-0000980D0000}"/>
    <cellStyle name="s_LBO IRR (2)" xfId="1359" xr:uid="{00000000-0005-0000-0000-0000990D0000}"/>
    <cellStyle name="s_LBO IRR (2)_1" xfId="1360" xr:uid="{00000000-0005-0000-0000-00009A0D0000}"/>
    <cellStyle name="s_LBO Sens (2)" xfId="1361" xr:uid="{00000000-0005-0000-0000-00009B0D0000}"/>
    <cellStyle name="s_LBO Sens (2)_1" xfId="1362" xr:uid="{00000000-0005-0000-0000-00009C0D0000}"/>
    <cellStyle name="s_LBO Sens (2)_2" xfId="1363" xr:uid="{00000000-0005-0000-0000-00009D0D0000}"/>
    <cellStyle name="s_LBO Summary (2)" xfId="1364" xr:uid="{00000000-0005-0000-0000-00009E0D0000}"/>
    <cellStyle name="s_LBO Summary (2)_1" xfId="1365" xr:uid="{00000000-0005-0000-0000-00009F0D0000}"/>
    <cellStyle name="s_LBO_1" xfId="1366" xr:uid="{00000000-0005-0000-0000-0000A00D0000}"/>
    <cellStyle name="s_LBO_2" xfId="1367" xr:uid="{00000000-0005-0000-0000-0000A10D0000}"/>
    <cellStyle name="s_lbo1" xfId="1368" xr:uid="{00000000-0005-0000-0000-0000A20D0000}"/>
    <cellStyle name="s_lbo1_1" xfId="1369" xr:uid="{00000000-0005-0000-0000-0000A30D0000}"/>
    <cellStyle name="s_lbo1_2" xfId="1370" xr:uid="{00000000-0005-0000-0000-0000A40D0000}"/>
    <cellStyle name="s_lbo3" xfId="1371" xr:uid="{00000000-0005-0000-0000-0000A50D0000}"/>
    <cellStyle name="s_lbo3_1" xfId="1372" xr:uid="{00000000-0005-0000-0000-0000A60D0000}"/>
    <cellStyle name="s_LBO5" xfId="1373" xr:uid="{00000000-0005-0000-0000-0000A70D0000}"/>
    <cellStyle name="s_LBO5_1" xfId="1374" xr:uid="{00000000-0005-0000-0000-0000A80D0000}"/>
    <cellStyle name="s_M&amp;A Model" xfId="1375" xr:uid="{00000000-0005-0000-0000-0000A90D0000}"/>
    <cellStyle name="s_M&amp;A projections" xfId="1376" xr:uid="{00000000-0005-0000-0000-0000AA0D0000}"/>
    <cellStyle name="s_MainPrint Code" xfId="1377" xr:uid="{00000000-0005-0000-0000-0000AB0D0000}"/>
    <cellStyle name="s_MainPrint Code_1" xfId="1378" xr:uid="{00000000-0005-0000-0000-0000AC0D0000}"/>
    <cellStyle name="s_Matrix_B" xfId="1379" xr:uid="{00000000-0005-0000-0000-0000AD0D0000}"/>
    <cellStyle name="s_Matrix_T" xfId="1380" xr:uid="{00000000-0005-0000-0000-0000AE0D0000}"/>
    <cellStyle name="s_Merger" xfId="1381" xr:uid="{00000000-0005-0000-0000-0000AF0D0000}"/>
    <cellStyle name="s_mod14" xfId="1382" xr:uid="{00000000-0005-0000-0000-0000B00D0000}"/>
    <cellStyle name="s_mod14_1" xfId="1383" xr:uid="{00000000-0005-0000-0000-0000B10D0000}"/>
    <cellStyle name="s_mod7" xfId="1384" xr:uid="{00000000-0005-0000-0000-0000B20D0000}"/>
    <cellStyle name="s_mod7_1" xfId="1385" xr:uid="{00000000-0005-0000-0000-0000B30D0000}"/>
    <cellStyle name="s_mod9" xfId="1386" xr:uid="{00000000-0005-0000-0000-0000B40D0000}"/>
    <cellStyle name="s_mod9_1" xfId="1387" xr:uid="{00000000-0005-0000-0000-0000B50D0000}"/>
    <cellStyle name="s_model1" xfId="1388" xr:uid="{00000000-0005-0000-0000-0000B60D0000}"/>
    <cellStyle name="s_model1_1" xfId="1389" xr:uid="{00000000-0005-0000-0000-0000B70D0000}"/>
    <cellStyle name="s_model1_2" xfId="1390" xr:uid="{00000000-0005-0000-0000-0000B80D0000}"/>
    <cellStyle name="s_model19" xfId="1391" xr:uid="{00000000-0005-0000-0000-0000B90D0000}"/>
    <cellStyle name="s_model19_1" xfId="1392" xr:uid="{00000000-0005-0000-0000-0000BA0D0000}"/>
    <cellStyle name="s_model2" xfId="1393" xr:uid="{00000000-0005-0000-0000-0000BB0D0000}"/>
    <cellStyle name="s_model6" xfId="1394" xr:uid="{00000000-0005-0000-0000-0000BC0D0000}"/>
    <cellStyle name="s_model6_1" xfId="1395" xr:uid="{00000000-0005-0000-0000-0000BD0D0000}"/>
    <cellStyle name="s_model6_2" xfId="1396" xr:uid="{00000000-0005-0000-0000-0000BE0D0000}"/>
    <cellStyle name="s_NOL (2)" xfId="1397" xr:uid="{00000000-0005-0000-0000-0000BF0D0000}"/>
    <cellStyle name="s_NOL (2)_1" xfId="1398" xr:uid="{00000000-0005-0000-0000-0000C00D0000}"/>
    <cellStyle name="s_NOL (2)_2" xfId="1399" xr:uid="{00000000-0005-0000-0000-0000C10D0000}"/>
    <cellStyle name="s_P_L_Ratios" xfId="1400" xr:uid="{00000000-0005-0000-0000-0000C20D0000}"/>
    <cellStyle name="s_P_L_Ratios_B" xfId="1401" xr:uid="{00000000-0005-0000-0000-0000C30D0000}"/>
    <cellStyle name="s_Paint 18 - MC" xfId="1402" xr:uid="{00000000-0005-0000-0000-0000C40D0000}"/>
    <cellStyle name="s_PFMA Cap (2)" xfId="1403" xr:uid="{00000000-0005-0000-0000-0000C50D0000}"/>
    <cellStyle name="s_PFMA Cap (2)_1" xfId="1404" xr:uid="{00000000-0005-0000-0000-0000C60D0000}"/>
    <cellStyle name="s_PFMA Cap (2)_2" xfId="1405" xr:uid="{00000000-0005-0000-0000-0000C70D0000}"/>
    <cellStyle name="s_PFMA Credit (2)" xfId="1406" xr:uid="{00000000-0005-0000-0000-0000C80D0000}"/>
    <cellStyle name="s_PFMA Credit (2)_1" xfId="1407" xr:uid="{00000000-0005-0000-0000-0000C90D0000}"/>
    <cellStyle name="s_RECESSA" xfId="1408" xr:uid="{00000000-0005-0000-0000-0000CA0D0000}"/>
    <cellStyle name="s_RECESSA_1" xfId="1409" xr:uid="{00000000-0005-0000-0000-0000CB0D0000}"/>
    <cellStyle name="s_Restructuring (2)" xfId="1410" xr:uid="{00000000-0005-0000-0000-0000CC0D0000}"/>
    <cellStyle name="s_Restructuring (2)_1" xfId="1411" xr:uid="{00000000-0005-0000-0000-0000CD0D0000}"/>
    <cellStyle name="s_Restructuring (2)_2" xfId="1412" xr:uid="{00000000-0005-0000-0000-0000CE0D0000}"/>
    <cellStyle name="s_Revised" xfId="1413" xr:uid="{00000000-0005-0000-0000-0000CF0D0000}"/>
    <cellStyle name="s_S_By_S" xfId="1414" xr:uid="{00000000-0005-0000-0000-0000D00D0000}"/>
    <cellStyle name="s_saft_1" xfId="1415" xr:uid="{00000000-0005-0000-0000-0000D10D0000}"/>
    <cellStyle name="s_saft_1_2" xfId="1416" xr:uid="{00000000-0005-0000-0000-0000D20D0000}"/>
    <cellStyle name="s_Schedules (2)" xfId="1417" xr:uid="{00000000-0005-0000-0000-0000D30D0000}"/>
    <cellStyle name="s_Schedules (2)_1" xfId="1418" xr:uid="{00000000-0005-0000-0000-0000D40D0000}"/>
    <cellStyle name="s_Schedules (2)_2" xfId="1419" xr:uid="{00000000-0005-0000-0000-0000D50D0000}"/>
    <cellStyle name="s_Sheet5" xfId="1420" xr:uid="{00000000-0005-0000-0000-0000D60D0000}"/>
    <cellStyle name="s_Standalone (2)" xfId="1421" xr:uid="{00000000-0005-0000-0000-0000D70D0000}"/>
    <cellStyle name="s_Standalone (2)_1" xfId="1422" xr:uid="{00000000-0005-0000-0000-0000D80D0000}"/>
    <cellStyle name="s_Standalone (2)_2" xfId="1423" xr:uid="{00000000-0005-0000-0000-0000D90D0000}"/>
    <cellStyle name="s_Trading Val Calc (2)" xfId="1424" xr:uid="{00000000-0005-0000-0000-0000DA0D0000}"/>
    <cellStyle name="s_Trading Val Calc (2)_1" xfId="1425" xr:uid="{00000000-0005-0000-0000-0000DB0D0000}"/>
    <cellStyle name="s_Val Sum (2)" xfId="1426" xr:uid="{00000000-0005-0000-0000-0000DC0D0000}"/>
    <cellStyle name="s_Val Sum (2)_1" xfId="1427" xr:uid="{00000000-0005-0000-0000-0000DD0D0000}"/>
    <cellStyle name="s_Val Sum (2)_2" xfId="1428" xr:uid="{00000000-0005-0000-0000-0000DE0D0000}"/>
    <cellStyle name="s_Valuation " xfId="1429" xr:uid="{00000000-0005-0000-0000-0000DF0D0000}"/>
    <cellStyle name="s_WACC benchmarking" xfId="1430" xr:uid="{00000000-0005-0000-0000-0000E00D0000}"/>
    <cellStyle name="s_WACC benchmarking 2" xfId="3688" xr:uid="{00000000-0005-0000-0000-0000E10D0000}"/>
    <cellStyle name="s_West Ham (2)" xfId="1431" xr:uid="{00000000-0005-0000-0000-0000E20D0000}"/>
    <cellStyle name="s_West Ham (2)_1" xfId="1432" xr:uid="{00000000-0005-0000-0000-0000E30D0000}"/>
    <cellStyle name="s_West Ham (2)_2" xfId="1433" xr:uid="{00000000-0005-0000-0000-0000E40D0000}"/>
    <cellStyle name="s_Westham (2)" xfId="1434" xr:uid="{00000000-0005-0000-0000-0000E50D0000}"/>
    <cellStyle name="s_Westham (2)_1" xfId="1435" xr:uid="{00000000-0005-0000-0000-0000E60D0000}"/>
    <cellStyle name="s_Westham (2)_2" xfId="1436" xr:uid="{00000000-0005-0000-0000-0000E70D0000}"/>
    <cellStyle name="s_Wool_01_07_12_1999_1" xfId="1437" xr:uid="{00000000-0005-0000-0000-0000E80D0000}"/>
    <cellStyle name="s_Wool_01_07_12_1999_2" xfId="1438" xr:uid="{00000000-0005-0000-0000-0000E90D0000}"/>
    <cellStyle name="s_Wool_14_12_1999_2" xfId="1439" xr:uid="{00000000-0005-0000-0000-0000EA0D0000}"/>
    <cellStyle name="s_Wool_15_02_2000" xfId="1440" xr:uid="{00000000-0005-0000-0000-0000EB0D0000}"/>
    <cellStyle name="s_Wool_15_02_2000_1" xfId="1441" xr:uid="{00000000-0005-0000-0000-0000EC0D0000}"/>
    <cellStyle name="s_Wool_15_02_2000_2" xfId="1442" xr:uid="{00000000-0005-0000-0000-0000ED0D0000}"/>
    <cellStyle name="s_WoolEuro_12_04_2000_02_1" xfId="1443" xr:uid="{00000000-0005-0000-0000-0000EE0D0000}"/>
    <cellStyle name="s_WoolEuro_12_04_2000_02_2" xfId="1444" xr:uid="{00000000-0005-0000-0000-0000EF0D0000}"/>
    <cellStyle name="s_WoolEuro_17_03_2000_1" xfId="1445" xr:uid="{00000000-0005-0000-0000-0000F00D0000}"/>
    <cellStyle name="s_WoolEuro_20_03_2000_3" xfId="1446" xr:uid="{00000000-0005-0000-0000-0000F10D0000}"/>
    <cellStyle name="s_WoolEuroEx_14_04_2000_01" xfId="1447" xr:uid="{00000000-0005-0000-0000-0000F20D0000}"/>
    <cellStyle name="s_WoolEuroEx_14_04_2000_01_1" xfId="1448" xr:uid="{00000000-0005-0000-0000-0000F30D0000}"/>
    <cellStyle name="Salomon Logo" xfId="1449" xr:uid="{00000000-0005-0000-0000-0000F40D0000}"/>
    <cellStyle name="same_prices" xfId="1450" xr:uid="{00000000-0005-0000-0000-0000F50D0000}"/>
    <cellStyle name="SAPBEXaggData" xfId="1451" xr:uid="{00000000-0005-0000-0000-0000F60D0000}"/>
    <cellStyle name="SAPBEXaggDataEmph" xfId="1452" xr:uid="{00000000-0005-0000-0000-0000F70D0000}"/>
    <cellStyle name="SAPBEXaggExc1" xfId="1453" xr:uid="{00000000-0005-0000-0000-0000F80D0000}"/>
    <cellStyle name="SAPBEXaggExc1Emph" xfId="1454" xr:uid="{00000000-0005-0000-0000-0000F90D0000}"/>
    <cellStyle name="SAPBEXaggExc2" xfId="1455" xr:uid="{00000000-0005-0000-0000-0000FA0D0000}"/>
    <cellStyle name="SAPBEXaggExc2Emph" xfId="1456" xr:uid="{00000000-0005-0000-0000-0000FB0D0000}"/>
    <cellStyle name="SAPBEXaggItem" xfId="1457" xr:uid="{00000000-0005-0000-0000-0000FC0D0000}"/>
    <cellStyle name="SAPBEXchaText" xfId="1458" xr:uid="{00000000-0005-0000-0000-0000FD0D0000}"/>
    <cellStyle name="SAPBEXfilterDrill" xfId="1459" xr:uid="{00000000-0005-0000-0000-0000FE0D0000}"/>
    <cellStyle name="SAPBEXfilterItem" xfId="1460" xr:uid="{00000000-0005-0000-0000-0000FF0D0000}"/>
    <cellStyle name="SAPBEXfilterText" xfId="1461" xr:uid="{00000000-0005-0000-0000-0000000E0000}"/>
    <cellStyle name="SAPBEXformats" xfId="1462" xr:uid="{00000000-0005-0000-0000-0000010E0000}"/>
    <cellStyle name="SAPBEXheaderData" xfId="1463" xr:uid="{00000000-0005-0000-0000-0000020E0000}"/>
    <cellStyle name="SAPBEXheaderItem" xfId="1464" xr:uid="{00000000-0005-0000-0000-0000030E0000}"/>
    <cellStyle name="SAPBEXheaderText" xfId="1465" xr:uid="{00000000-0005-0000-0000-0000040E0000}"/>
    <cellStyle name="SAPBEXresData" xfId="1466" xr:uid="{00000000-0005-0000-0000-0000050E0000}"/>
    <cellStyle name="SAPBEXresDataEmph" xfId="1467" xr:uid="{00000000-0005-0000-0000-0000060E0000}"/>
    <cellStyle name="SAPBEXresExc1" xfId="1468" xr:uid="{00000000-0005-0000-0000-0000070E0000}"/>
    <cellStyle name="SAPBEXresExc1Emph" xfId="1469" xr:uid="{00000000-0005-0000-0000-0000080E0000}"/>
    <cellStyle name="SAPBEXresExc2" xfId="1470" xr:uid="{00000000-0005-0000-0000-0000090E0000}"/>
    <cellStyle name="SAPBEXresExc2Emph" xfId="1471" xr:uid="{00000000-0005-0000-0000-00000A0E0000}"/>
    <cellStyle name="SAPBEXresItem" xfId="1472" xr:uid="{00000000-0005-0000-0000-00000B0E0000}"/>
    <cellStyle name="SAPBEXstdData" xfId="1473" xr:uid="{00000000-0005-0000-0000-00000C0E0000}"/>
    <cellStyle name="SAPBEXstdDataEmph" xfId="1474" xr:uid="{00000000-0005-0000-0000-00000D0E0000}"/>
    <cellStyle name="SAPBEXstdExc1" xfId="1475" xr:uid="{00000000-0005-0000-0000-00000E0E0000}"/>
    <cellStyle name="SAPBEXstdExc1Emph" xfId="1476" xr:uid="{00000000-0005-0000-0000-00000F0E0000}"/>
    <cellStyle name="SAPBEXstdExc2" xfId="1477" xr:uid="{00000000-0005-0000-0000-0000100E0000}"/>
    <cellStyle name="SAPBEXstdExc2Emph" xfId="1478" xr:uid="{00000000-0005-0000-0000-0000110E0000}"/>
    <cellStyle name="SAPBEXstdItem" xfId="1479" xr:uid="{00000000-0005-0000-0000-0000120E0000}"/>
    <cellStyle name="SAPBEXsubData" xfId="1480" xr:uid="{00000000-0005-0000-0000-0000130E0000}"/>
    <cellStyle name="SAPBEXsubDataEmph" xfId="1481" xr:uid="{00000000-0005-0000-0000-0000140E0000}"/>
    <cellStyle name="SAPBEXsubExc1" xfId="1482" xr:uid="{00000000-0005-0000-0000-0000150E0000}"/>
    <cellStyle name="SAPBEXsubExc1Emph" xfId="1483" xr:uid="{00000000-0005-0000-0000-0000160E0000}"/>
    <cellStyle name="SAPBEXsubExc2" xfId="1484" xr:uid="{00000000-0005-0000-0000-0000170E0000}"/>
    <cellStyle name="SAPBEXsubExc2Emph" xfId="1485" xr:uid="{00000000-0005-0000-0000-0000180E0000}"/>
    <cellStyle name="SAPBEXsubItem" xfId="1486" xr:uid="{00000000-0005-0000-0000-0000190E0000}"/>
    <cellStyle name="SAPBEXtitle" xfId="1487" xr:uid="{00000000-0005-0000-0000-00001A0E0000}"/>
    <cellStyle name="SAPBEXundefined" xfId="1488" xr:uid="{00000000-0005-0000-0000-00001B0E0000}"/>
    <cellStyle name="SAPKey" xfId="1489" xr:uid="{00000000-0005-0000-0000-00001C0E0000}"/>
    <cellStyle name="SAPLocked" xfId="1490" xr:uid="{00000000-0005-0000-0000-00001D0E0000}"/>
    <cellStyle name="SAPOutput" xfId="1491" xr:uid="{00000000-0005-0000-0000-00001E0E0000}"/>
    <cellStyle name="SAPSpace" xfId="1492" xr:uid="{00000000-0005-0000-0000-00001F0E0000}"/>
    <cellStyle name="SAPText" xfId="1493" xr:uid="{00000000-0005-0000-0000-0000200E0000}"/>
    <cellStyle name="SAPUnLocked" xfId="1494" xr:uid="{00000000-0005-0000-0000-0000210E0000}"/>
    <cellStyle name="ScripFactor" xfId="1495" xr:uid="{00000000-0005-0000-0000-0000220E0000}"/>
    <cellStyle name="sd" xfId="1496" xr:uid="{00000000-0005-0000-0000-0000230E0000}"/>
    <cellStyle name="Section" xfId="1497" xr:uid="{00000000-0005-0000-0000-0000240E0000}"/>
    <cellStyle name="Section name" xfId="1498" xr:uid="{00000000-0005-0000-0000-0000250E0000}"/>
    <cellStyle name="Section Title" xfId="1499" xr:uid="{00000000-0005-0000-0000-0000260E0000}"/>
    <cellStyle name="Section_M&amp;A Model" xfId="1500" xr:uid="{00000000-0005-0000-0000-0000270E0000}"/>
    <cellStyle name="SectionHeading" xfId="1501" xr:uid="{00000000-0005-0000-0000-0000280E0000}"/>
    <cellStyle name="Separador de milhares [0]_planbrasil 1" xfId="1502" xr:uid="{00000000-0005-0000-0000-0000290E0000}"/>
    <cellStyle name="Separador de milhares_planbrasil 1" xfId="1503" xr:uid="{00000000-0005-0000-0000-00002A0E0000}"/>
    <cellStyle name="sf" xfId="1504" xr:uid="{00000000-0005-0000-0000-00002B0E0000}"/>
    <cellStyle name="sff" xfId="1505" xr:uid="{00000000-0005-0000-0000-00002C0E0000}"/>
    <cellStyle name="Shaded" xfId="1506" xr:uid="{00000000-0005-0000-0000-00002D0E0000}"/>
    <cellStyle name="Shading" xfId="1507" xr:uid="{00000000-0005-0000-0000-00002E0E0000}"/>
    <cellStyle name="Shares" xfId="1508" xr:uid="{00000000-0005-0000-0000-00002F0E0000}"/>
    <cellStyle name="Sheetmult" xfId="1509" xr:uid="{00000000-0005-0000-0000-0000300E0000}"/>
    <cellStyle name="Short Date" xfId="1510" xr:uid="{00000000-0005-0000-0000-0000310E0000}"/>
    <cellStyle name="Short Time" xfId="1511" xr:uid="{00000000-0005-0000-0000-0000320E0000}"/>
    <cellStyle name="Shtmultx" xfId="1512" xr:uid="{00000000-0005-0000-0000-0000330E0000}"/>
    <cellStyle name="Single Accounting" xfId="1513" xr:uid="{00000000-0005-0000-0000-0000340E0000}"/>
    <cellStyle name="Single Border" xfId="1514" xr:uid="{00000000-0005-0000-0000-0000350E0000}"/>
    <cellStyle name="Single Underline" xfId="1515" xr:uid="{00000000-0005-0000-0000-0000360E0000}"/>
    <cellStyle name="Small Number" xfId="1516" xr:uid="{00000000-0005-0000-0000-0000370E0000}"/>
    <cellStyle name="Small Page Heading" xfId="1517" xr:uid="{00000000-0005-0000-0000-0000380E0000}"/>
    <cellStyle name="Small Percentage" xfId="1518" xr:uid="{00000000-0005-0000-0000-0000390E0000}"/>
    <cellStyle name="Spreadsheet title" xfId="1519" xr:uid="{00000000-0005-0000-0000-00003A0E0000}"/>
    <cellStyle name="spt" xfId="1520" xr:uid="{00000000-0005-0000-0000-00003B0E0000}"/>
    <cellStyle name="ss" xfId="1521" xr:uid="{00000000-0005-0000-0000-00003C0E0000}"/>
    <cellStyle name="ss0" xfId="1522" xr:uid="{00000000-0005-0000-0000-00003D0E0000}"/>
    <cellStyle name="ss0 2" xfId="3689" xr:uid="{00000000-0005-0000-0000-00003E0E0000}"/>
    <cellStyle name="ss1" xfId="1523" xr:uid="{00000000-0005-0000-0000-00003F0E0000}"/>
    <cellStyle name="ss1 2" xfId="3690" xr:uid="{00000000-0005-0000-0000-0000400E0000}"/>
    <cellStyle name="ss2" xfId="1524" xr:uid="{00000000-0005-0000-0000-0000410E0000}"/>
    <cellStyle name="ss2 2" xfId="3691" xr:uid="{00000000-0005-0000-0000-0000420E0000}"/>
    <cellStyle name="ssp " xfId="1525" xr:uid="{00000000-0005-0000-0000-0000430E0000}"/>
    <cellStyle name="st" xfId="1526" xr:uid="{00000000-0005-0000-0000-0000440E0000}"/>
    <cellStyle name="Standaard_balance" xfId="1527" xr:uid="{00000000-0005-0000-0000-0000450E0000}"/>
    <cellStyle name="Standard" xfId="1528" xr:uid="{00000000-0005-0000-0000-0000460E0000}"/>
    <cellStyle name="Standard Header" xfId="1529" xr:uid="{00000000-0005-0000-0000-0000470E0000}"/>
    <cellStyle name="Standard__Utopia Index Index und Guidance (Deutsch)" xfId="1530" xr:uid="{00000000-0005-0000-0000-0000480E0000}"/>
    <cellStyle name="Std_1" xfId="1531" xr:uid="{00000000-0005-0000-0000-0000490E0000}"/>
    <cellStyle name="Stock Comma" xfId="1532" xr:uid="{00000000-0005-0000-0000-00004A0E0000}"/>
    <cellStyle name="Stock Price" xfId="1533" xr:uid="{00000000-0005-0000-0000-00004B0E0000}"/>
    <cellStyle name="Strange" xfId="1534" xr:uid="{00000000-0005-0000-0000-00004C0E0000}"/>
    <cellStyle name="Strictly confidential" xfId="1535" xr:uid="{00000000-0005-0000-0000-00004D0E0000}"/>
    <cellStyle name="Strictly confidential 2" xfId="3692" xr:uid="{00000000-0005-0000-0000-00004E0E0000}"/>
    <cellStyle name="STYL1 - Style1" xfId="1536" xr:uid="{00000000-0005-0000-0000-00004F0E0000}"/>
    <cellStyle name="Style 1" xfId="1537" xr:uid="{00000000-0005-0000-0000-0000500E0000}"/>
    <cellStyle name="Style 2" xfId="1538" xr:uid="{00000000-0005-0000-0000-0000510E0000}"/>
    <cellStyle name="Style 3" xfId="1539" xr:uid="{00000000-0005-0000-0000-0000520E0000}"/>
    <cellStyle name="Sub-titulo" xfId="1549" xr:uid="{00000000-0005-0000-0000-00005C0E0000}"/>
    <cellStyle name="Sub-titulo 2" xfId="1550" xr:uid="{00000000-0005-0000-0000-00005D0E0000}"/>
    <cellStyle name="Sub-total" xfId="1552" xr:uid="{00000000-0005-0000-0000-00005F0E0000}"/>
    <cellStyle name="Subhead" xfId="1540" xr:uid="{00000000-0005-0000-0000-0000530E0000}"/>
    <cellStyle name="Subheadbldun" xfId="1541" xr:uid="{00000000-0005-0000-0000-0000540E0000}"/>
    <cellStyle name="SubHeading" xfId="1542" xr:uid="{00000000-0005-0000-0000-0000550E0000}"/>
    <cellStyle name="SubHeading 1" xfId="1543" xr:uid="{00000000-0005-0000-0000-0000560E0000}"/>
    <cellStyle name="SubHeading 2" xfId="1544" xr:uid="{00000000-0005-0000-0000-0000570E0000}"/>
    <cellStyle name="SubHeading_57 Project Fly (2)" xfId="1545" xr:uid="{00000000-0005-0000-0000-0000580E0000}"/>
    <cellStyle name="SubsidTitle" xfId="1546" xr:uid="{00000000-0005-0000-0000-0000590E0000}"/>
    <cellStyle name="SubsubHead" xfId="1547" xr:uid="{00000000-0005-0000-0000-00005A0E0000}"/>
    <cellStyle name="Subtitle" xfId="1548" xr:uid="{00000000-0005-0000-0000-00005B0E0000}"/>
    <cellStyle name="Subtotal" xfId="1551" xr:uid="{00000000-0005-0000-0000-00005E0E0000}"/>
    <cellStyle name="Subtotal 2" xfId="3693" xr:uid="{00000000-0005-0000-0000-0000600E0000}"/>
    <cellStyle name="Subtotal_left" xfId="1553" xr:uid="{00000000-0005-0000-0000-0000610E0000}"/>
    <cellStyle name="Summary" xfId="1554" xr:uid="{00000000-0005-0000-0000-0000620E0000}"/>
    <cellStyle name="Summe" xfId="1555" xr:uid="{00000000-0005-0000-0000-0000630E0000}"/>
    <cellStyle name="SuppCalc (0.0)" xfId="1556" xr:uid="{00000000-0005-0000-0000-0000640E0000}"/>
    <cellStyle name="SwitchA" xfId="1557" xr:uid="{00000000-0005-0000-0000-0000650E0000}"/>
    <cellStyle name="SwitchR" xfId="1558" xr:uid="{00000000-0005-0000-0000-0000660E0000}"/>
    <cellStyle name="t" xfId="1559" xr:uid="{00000000-0005-0000-0000-0000670E0000}"/>
    <cellStyle name="t_Ithaca_Options Outstanding_20051211" xfId="1562" xr:uid="{00000000-0005-0000-0000-00006A0E0000}"/>
    <cellStyle name="t_Manager" xfId="1563" xr:uid="{00000000-0005-0000-0000-00006B0E0000}"/>
    <cellStyle name="t_Valuation" xfId="1564" xr:uid="{00000000-0005-0000-0000-00006C0E0000}"/>
    <cellStyle name="t_WACC benchmarking" xfId="1565" xr:uid="{00000000-0005-0000-0000-00006D0E0000}"/>
    <cellStyle name="t#" xfId="1560" xr:uid="{00000000-0005-0000-0000-0000680E0000}"/>
    <cellStyle name="t%" xfId="1561" xr:uid="{00000000-0005-0000-0000-0000690E0000}"/>
    <cellStyle name="t1" xfId="1566" xr:uid="{00000000-0005-0000-0000-00006E0E0000}"/>
    <cellStyle name="Table" xfId="1567" xr:uid="{00000000-0005-0000-0000-00006F0E0000}"/>
    <cellStyle name="Table Col Head" xfId="1568" xr:uid="{00000000-0005-0000-0000-0000700E0000}"/>
    <cellStyle name="table column heading" xfId="1569" xr:uid="{00000000-0005-0000-0000-0000710E0000}"/>
    <cellStyle name="Table Head" xfId="1570" xr:uid="{00000000-0005-0000-0000-0000720E0000}"/>
    <cellStyle name="Table Head Aligned" xfId="1571" xr:uid="{00000000-0005-0000-0000-0000730E0000}"/>
    <cellStyle name="Table Head Blue" xfId="1572" xr:uid="{00000000-0005-0000-0000-0000740E0000}"/>
    <cellStyle name="Table Head Green" xfId="1573" xr:uid="{00000000-0005-0000-0000-0000750E0000}"/>
    <cellStyle name="Table Head__WACC analysis" xfId="1574" xr:uid="{00000000-0005-0000-0000-0000760E0000}"/>
    <cellStyle name="Table Heading" xfId="1575" xr:uid="{00000000-0005-0000-0000-0000770E0000}"/>
    <cellStyle name="Table Source" xfId="1576" xr:uid="{00000000-0005-0000-0000-0000780E0000}"/>
    <cellStyle name="Table Sub Head" xfId="1577" xr:uid="{00000000-0005-0000-0000-0000790E0000}"/>
    <cellStyle name="Table Sub Heading" xfId="1578" xr:uid="{00000000-0005-0000-0000-00007A0E0000}"/>
    <cellStyle name="Table Text" xfId="1579" xr:uid="{00000000-0005-0000-0000-00007B0E0000}"/>
    <cellStyle name="Table Title" xfId="1580" xr:uid="{00000000-0005-0000-0000-00007C0E0000}"/>
    <cellStyle name="Table Units" xfId="1581" xr:uid="{00000000-0005-0000-0000-00007D0E0000}"/>
    <cellStyle name="Table_Header" xfId="1582" xr:uid="{00000000-0005-0000-0000-00007E0E0000}"/>
    <cellStyle name="TableBase" xfId="1583" xr:uid="{00000000-0005-0000-0000-00007F0E0000}"/>
    <cellStyle name="TableBase 2" xfId="3694" xr:uid="{00000000-0005-0000-0000-0000800E0000}"/>
    <cellStyle name="TableColumnHeading" xfId="1584" xr:uid="{00000000-0005-0000-0000-0000810E0000}"/>
    <cellStyle name="TableFootnotes" xfId="1585" xr:uid="{00000000-0005-0000-0000-0000820E0000}"/>
    <cellStyle name="TableHead" xfId="1586" xr:uid="{00000000-0005-0000-0000-0000830E0000}"/>
    <cellStyle name="TableName" xfId="1587" xr:uid="{00000000-0005-0000-0000-0000840E0000}"/>
    <cellStyle name="TableSubTitleItalic" xfId="1588" xr:uid="{00000000-0005-0000-0000-0000850E0000}"/>
    <cellStyle name="TableText" xfId="1589" xr:uid="{00000000-0005-0000-0000-0000860E0000}"/>
    <cellStyle name="TableTitle" xfId="1590" xr:uid="{00000000-0005-0000-0000-0000870E0000}"/>
    <cellStyle name="TableTitleFormat" xfId="1591" xr:uid="{00000000-0005-0000-0000-0000880E0000}"/>
    <cellStyle name="Tag" xfId="1592" xr:uid="{00000000-0005-0000-0000-0000890E0000}"/>
    <cellStyle name="Test" xfId="1593" xr:uid="{00000000-0005-0000-0000-00008A0E0000}"/>
    <cellStyle name="Test [green]" xfId="1594" xr:uid="{00000000-0005-0000-0000-00008B0E0000}"/>
    <cellStyle name="Text" xfId="1595" xr:uid="{00000000-0005-0000-0000-00008C0E0000}"/>
    <cellStyle name="Text [4]" xfId="1596" xr:uid="{00000000-0005-0000-0000-00008D0E0000}"/>
    <cellStyle name="Text [8]" xfId="1597" xr:uid="{00000000-0005-0000-0000-00008E0E0000}"/>
    <cellStyle name="Text [Bullet]" xfId="1598" xr:uid="{00000000-0005-0000-0000-00008F0E0000}"/>
    <cellStyle name="Text [Dash]" xfId="1599" xr:uid="{00000000-0005-0000-0000-0000900E0000}"/>
    <cellStyle name="Text [Em-Dash]" xfId="1600" xr:uid="{00000000-0005-0000-0000-0000910E0000}"/>
    <cellStyle name="Text 1" xfId="1601" xr:uid="{00000000-0005-0000-0000-0000920E0000}"/>
    <cellStyle name="Text 2" xfId="1602" xr:uid="{00000000-0005-0000-0000-0000930E0000}"/>
    <cellStyle name="Text Head" xfId="1603" xr:uid="{00000000-0005-0000-0000-0000940E0000}"/>
    <cellStyle name="Text Head 1" xfId="1604" xr:uid="{00000000-0005-0000-0000-0000950E0000}"/>
    <cellStyle name="Text Head 2" xfId="1605" xr:uid="{00000000-0005-0000-0000-0000960E0000}"/>
    <cellStyle name="Text Indent 1" xfId="1606" xr:uid="{00000000-0005-0000-0000-0000970E0000}"/>
    <cellStyle name="Text Indent 2" xfId="1607" xr:uid="{00000000-0005-0000-0000-0000980E0000}"/>
    <cellStyle name="Text Indent A" xfId="1608" xr:uid="{00000000-0005-0000-0000-0000990E0000}"/>
    <cellStyle name="Text Indent B" xfId="1609" xr:uid="{00000000-0005-0000-0000-00009A0E0000}"/>
    <cellStyle name="Text Indent C" xfId="1610" xr:uid="{00000000-0005-0000-0000-00009B0E0000}"/>
    <cellStyle name="Text Wrap" xfId="1611" xr:uid="{00000000-0005-0000-0000-00009C0E0000}"/>
    <cellStyle name="Text_comparison" xfId="1612" xr:uid="{00000000-0005-0000-0000-00009D0E0000}"/>
    <cellStyle name="TFCF" xfId="1613" xr:uid="{00000000-0005-0000-0000-00009E0E0000}"/>
    <cellStyle name="thousand" xfId="1614" xr:uid="{00000000-0005-0000-0000-00009F0E0000}"/>
    <cellStyle name="threedecplace" xfId="1615" xr:uid="{00000000-0005-0000-0000-0000A00E0000}"/>
    <cellStyle name="Tick" xfId="1616" xr:uid="{00000000-0005-0000-0000-0000A10E0000}"/>
    <cellStyle name="time" xfId="1617" xr:uid="{00000000-0005-0000-0000-0000A20E0000}"/>
    <cellStyle name="Time Strip" xfId="1618" xr:uid="{00000000-0005-0000-0000-0000A30E0000}"/>
    <cellStyle name="Time_M&amp;A Model" xfId="1619" xr:uid="{00000000-0005-0000-0000-0000A40E0000}"/>
    <cellStyle name="times" xfId="1620" xr:uid="{00000000-0005-0000-0000-0000A50E0000}"/>
    <cellStyle name="Times [1]" xfId="1621" xr:uid="{00000000-0005-0000-0000-0000A60E0000}"/>
    <cellStyle name="Times [1] Total" xfId="1622" xr:uid="{00000000-0005-0000-0000-0000A70E0000}"/>
    <cellStyle name="Times [1] Total 2" xfId="3695" xr:uid="{00000000-0005-0000-0000-0000A80E0000}"/>
    <cellStyle name="Times [1]_GP_NEM_4" xfId="1623" xr:uid="{00000000-0005-0000-0000-0000A90E0000}"/>
    <cellStyle name="Times [2]" xfId="1624" xr:uid="{00000000-0005-0000-0000-0000AA0E0000}"/>
    <cellStyle name="Times [2] Total" xfId="1625" xr:uid="{00000000-0005-0000-0000-0000AB0E0000}"/>
    <cellStyle name="Times [2] Total 2" xfId="3696" xr:uid="{00000000-0005-0000-0000-0000AC0E0000}"/>
    <cellStyle name="Times [2]_GP_NEM_4" xfId="1626" xr:uid="{00000000-0005-0000-0000-0000AD0E0000}"/>
    <cellStyle name="Times [3]" xfId="1627" xr:uid="{00000000-0005-0000-0000-0000AE0E0000}"/>
    <cellStyle name="Times 10" xfId="1628" xr:uid="{00000000-0005-0000-0000-0000AF0E0000}"/>
    <cellStyle name="Times 12" xfId="1629" xr:uid="{00000000-0005-0000-0000-0000B00E0000}"/>
    <cellStyle name="Times New Roman" xfId="1630" xr:uid="{00000000-0005-0000-0000-0000B10E0000}"/>
    <cellStyle name="times_EXPN" xfId="1631" xr:uid="{00000000-0005-0000-0000-0000B20E0000}"/>
    <cellStyle name="titel" xfId="1632" xr:uid="{00000000-0005-0000-0000-0000B30E0000}"/>
    <cellStyle name="Title Heading" xfId="1633" xr:uid="{00000000-0005-0000-0000-0000B40E0000}"/>
    <cellStyle name="Title II" xfId="1634" xr:uid="{00000000-0005-0000-0000-0000B50E0000}"/>
    <cellStyle name="Title1" xfId="1635" xr:uid="{00000000-0005-0000-0000-0000B60E0000}"/>
    <cellStyle name="Title2" xfId="1636" xr:uid="{00000000-0005-0000-0000-0000B70E0000}"/>
    <cellStyle name="TitleII" xfId="1637" xr:uid="{00000000-0005-0000-0000-0000B80E0000}"/>
    <cellStyle name="Titles" xfId="1638" xr:uid="{00000000-0005-0000-0000-0000B90E0000}"/>
    <cellStyle name="Titles2" xfId="1639" xr:uid="{00000000-0005-0000-0000-0000BA0E0000}"/>
    <cellStyle name="TitleYear" xfId="1640" xr:uid="{00000000-0005-0000-0000-0000BB0E0000}"/>
    <cellStyle name="titre_col" xfId="1641" xr:uid="{00000000-0005-0000-0000-0000BC0E0000}"/>
    <cellStyle name="Titulo-Seccion" xfId="1642" xr:uid="{00000000-0005-0000-0000-0000BD0E0000}"/>
    <cellStyle name="tom" xfId="1643" xr:uid="{00000000-0005-0000-0000-0000BE0E0000}"/>
    <cellStyle name="Top Edge" xfId="1644" xr:uid="{00000000-0005-0000-0000-0000BF0E0000}"/>
    <cellStyle name="TopCaption" xfId="1645" xr:uid="{00000000-0005-0000-0000-0000C00E0000}"/>
    <cellStyle name="Topline" xfId="1646" xr:uid="{00000000-0005-0000-0000-0000C10E0000}"/>
    <cellStyle name="Topline 2" xfId="3697" xr:uid="{00000000-0005-0000-0000-0000C20E0000}"/>
    <cellStyle name="Totals" xfId="1647" xr:uid="{00000000-0005-0000-0000-0000C30E0000}"/>
    <cellStyle name="Totals [0]" xfId="1648" xr:uid="{00000000-0005-0000-0000-0000C40E0000}"/>
    <cellStyle name="Totals [2]" xfId="1649" xr:uid="{00000000-0005-0000-0000-0000C50E0000}"/>
    <cellStyle name="Totals_57 Project Fly (2)" xfId="1650" xr:uid="{00000000-0005-0000-0000-0000C60E0000}"/>
    <cellStyle name="trailing" xfId="1651" xr:uid="{00000000-0005-0000-0000-0000C70E0000}"/>
    <cellStyle name="ts0" xfId="1652" xr:uid="{00000000-0005-0000-0000-0000C80E0000}"/>
    <cellStyle name="ts1" xfId="1653" xr:uid="{00000000-0005-0000-0000-0000C90E0000}"/>
    <cellStyle name="ts2" xfId="1654" xr:uid="{00000000-0005-0000-0000-0000CA0E0000}"/>
    <cellStyle name="u" xfId="1655" xr:uid="{00000000-0005-0000-0000-0000CB0E0000}"/>
    <cellStyle name="u_MD 1 model_blank_Augustin" xfId="1656" xr:uid="{00000000-0005-0000-0000-0000CC0E0000}"/>
    <cellStyle name="ubordinated Debt" xfId="1657" xr:uid="{00000000-0005-0000-0000-0000CD0E0000}"/>
    <cellStyle name="Undefiniert" xfId="1658" xr:uid="{00000000-0005-0000-0000-0000CE0E0000}"/>
    <cellStyle name="underline" xfId="1659" xr:uid="{00000000-0005-0000-0000-0000CF0E0000}"/>
    <cellStyle name="Underscore" xfId="1660" xr:uid="{00000000-0005-0000-0000-0000D00E0000}"/>
    <cellStyle name="Underscore 2" xfId="3698" xr:uid="{00000000-0005-0000-0000-0000D10E0000}"/>
    <cellStyle name="units" xfId="1661" xr:uid="{00000000-0005-0000-0000-0000D20E0000}"/>
    <cellStyle name="Unprot" xfId="1662" xr:uid="{00000000-0005-0000-0000-0000D30E0000}"/>
    <cellStyle name="Unprot$" xfId="1663" xr:uid="{00000000-0005-0000-0000-0000D40E0000}"/>
    <cellStyle name="Unprotect" xfId="1664" xr:uid="{00000000-0005-0000-0000-0000D50E0000}"/>
    <cellStyle name="User_Defined_A" xfId="1665" xr:uid="{00000000-0005-0000-0000-0000D60E0000}"/>
    <cellStyle name="Valuta (0)" xfId="1666" xr:uid="{00000000-0005-0000-0000-0000D70E0000}"/>
    <cellStyle name="Valuta [0]_DCF Filos" xfId="1667" xr:uid="{00000000-0005-0000-0000-0000D80E0000}"/>
    <cellStyle name="Valuta_Compkey_95" xfId="1668" xr:uid="{00000000-0005-0000-0000-0000D90E0000}"/>
    <cellStyle name="VertPC" xfId="1669" xr:uid="{00000000-0005-0000-0000-0000DA0E0000}"/>
    <cellStyle name="Währung [0]_Admin" xfId="1670" xr:uid="{00000000-0005-0000-0000-0000DB0E0000}"/>
    <cellStyle name="Währung_Admin" xfId="1671" xr:uid="{00000000-0005-0000-0000-0000DC0E0000}"/>
    <cellStyle name="White" xfId="1672" xr:uid="{00000000-0005-0000-0000-0000DD0E0000}"/>
    <cellStyle name="WholeNumber" xfId="1673" xr:uid="{00000000-0005-0000-0000-0000DE0E0000}"/>
    <cellStyle name="WP Header" xfId="1674" xr:uid="{00000000-0005-0000-0000-0000DF0E0000}"/>
    <cellStyle name="WrappedBold" xfId="1675" xr:uid="{00000000-0005-0000-0000-0000E00E0000}"/>
    <cellStyle name="x0" xfId="1676" xr:uid="{00000000-0005-0000-0000-0000E10E0000}"/>
    <cellStyle name="x1" xfId="1677" xr:uid="{00000000-0005-0000-0000-0000E20E0000}"/>
    <cellStyle name="x2" xfId="1678" xr:uid="{00000000-0005-0000-0000-0000E30E0000}"/>
    <cellStyle name="year" xfId="1679" xr:uid="{00000000-0005-0000-0000-0000E40E0000}"/>
    <cellStyle name="Year Estimates" xfId="1680" xr:uid="{00000000-0005-0000-0000-0000E50E0000}"/>
    <cellStyle name="Year Historicals" xfId="1681" xr:uid="{00000000-0005-0000-0000-0000E60E0000}"/>
    <cellStyle name="Year_MD 1 model_blank_Augustin" xfId="1682" xr:uid="{00000000-0005-0000-0000-0000E70E0000}"/>
    <cellStyle name="YearA" xfId="1683" xr:uid="{00000000-0005-0000-0000-0000E80E0000}"/>
    <cellStyle name="YearE" xfId="1684" xr:uid="{00000000-0005-0000-0000-0000E90E0000}"/>
    <cellStyle name="Yen" xfId="1685" xr:uid="{00000000-0005-0000-0000-0000EA0E0000}"/>
  </cellStyles>
  <dxfs count="0"/>
  <tableStyles count="0" defaultTableStyle="TableStyleMedium9" defaultPivotStyle="PivotStyleLight16"/>
  <colors>
    <mruColors>
      <color rgb="FFFFFFCC"/>
      <color rgb="FFE5F1F3"/>
      <color rgb="FFEAEDD2"/>
      <color rgb="FFDEDFD5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Documents%20and%20Settings/u903129/Desktop/ChartPRO/ChartPRO%20Master%20v3m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arb/Desktop/field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haf/Local%20Settings/Temporary%20Internet%20Files/OLKC/15%2003%2007%20Project%20Blue%20model%20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Defence/Model/BB%20Defence%20Model%20v9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NILIAD/Workings/Nov%2005/Working%20file%20RelVal%20ODYSSEY%2003.11.05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Bia/Models/Feb%202006/Project%20Bia_Feb%202006_v44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416046/Temp/notes9DC704/Talvivaara%20Finance_08.05.06v0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239287/Temp/notesB0A751/ENR%20v15_27.11.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Esmond/Kazakhmys/2006/ENR%20Model%20V37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temp/MDOn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Jan_%202005%20MANAGEMENT%20ACCOUNTS%2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Client%20Directory/H/Hays/Model/Recruitment_model_310507_v7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ining/Admin/Mincomps/General%20mining/2005/Mining%20Comps%2007_07_0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Mergers/Client%20Directory/F/FKI/FKI_model_v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Copy%20of%20Rusal_model_v%2016%20xls.zip/Copy%20of%20Rusal_model_v.16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Tuck/Models/Round%20II/Project%20Tuck_JPMC%20version%20v58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/><Relationship Id="rId1" Type="http://schemas.openxmlformats.org/officeDocument/2006/relationships/externalLinkPath" Target="/files3/cf$/Corporate%20Finance%20Advice/Teams/M&amp;A/Christopher/Client%20Directory/BOC/Models/Merger%20models/2005/Project%20Tango%20Model%20(version%2050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Executive%20Summary%20(Tear%20Sheets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Documents%20and%20Settings/amaharaj/Local%20Settings/Temporary%20Internet%20Files/OLK84/Project%20Victoria%20version%201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Lydian/NGC%20ongoing/Lydian%20Model/NGCH%20Model%20(LCAJF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/Deals/Dolphin/Lydian%20Model/legal/Anylyst%20Company%20Model/DCF%20Cocoon%20030716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Project%20Diablo/Model/superceded/DML%20Model%20(version%202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 xml:space="preserve"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 xml:space="preserve"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 xml:space="preserve"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 xml:space="preserve"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>
            <v/>
          </cell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 xml:space="preserve"> </v>
          </cell>
          <cell r="F13" t="str">
            <v xml:space="preserve"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 xml:space="preserve"> </v>
          </cell>
          <cell r="O13" t="str">
            <v xml:space="preserve"> </v>
          </cell>
          <cell r="P13" t="str">
            <v xml:space="preserve"> </v>
          </cell>
          <cell r="Q13" t="str">
            <v xml:space="preserve"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 xml:space="preserve"> </v>
          </cell>
          <cell r="Z13" t="str">
            <v xml:space="preserve"> </v>
          </cell>
          <cell r="AA13" t="str">
            <v xml:space="preserve"> </v>
          </cell>
          <cell r="AB13" t="str">
            <v xml:space="preserve"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 xml:space="preserve"> </v>
          </cell>
          <cell r="AK13" t="str">
            <v xml:space="preserve"> </v>
          </cell>
          <cell r="AL13" t="str">
            <v xml:space="preserve"> </v>
          </cell>
          <cell r="AM13" t="str">
            <v xml:space="preserve"> </v>
          </cell>
          <cell r="AN13" t="str">
            <v xml:space="preserve"> </v>
          </cell>
          <cell r="AO13" t="str">
            <v xml:space="preserve"> </v>
          </cell>
          <cell r="AP13" t="str">
            <v xml:space="preserve"> </v>
          </cell>
          <cell r="AQ13" t="str">
            <v xml:space="preserve"> </v>
          </cell>
          <cell r="AT13" t="str">
            <v xml:space="preserve"> </v>
          </cell>
          <cell r="AV13" t="str">
            <v xml:space="preserve"> </v>
          </cell>
          <cell r="AW13" t="str">
            <v xml:space="preserve"> </v>
          </cell>
          <cell r="AX13" t="str">
            <v xml:space="preserve"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 xml:space="preserve"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 xml:space="preserve"> </v>
          </cell>
          <cell r="E21" t="str">
            <v xml:space="preserve"> </v>
          </cell>
          <cell r="F21" t="str">
            <v xml:space="preserve"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 xml:space="preserve"> </v>
          </cell>
          <cell r="O21" t="str">
            <v xml:space="preserve"> </v>
          </cell>
          <cell r="P21" t="str">
            <v xml:space="preserve"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 xml:space="preserve"> </v>
          </cell>
          <cell r="Z21" t="str">
            <v xml:space="preserve"> </v>
          </cell>
          <cell r="AA21" t="str">
            <v xml:space="preserve"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 xml:space="preserve"> </v>
          </cell>
          <cell r="F45" t="str">
            <v xml:space="preserve"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 xml:space="preserve"> </v>
          </cell>
          <cell r="O45" t="str">
            <v xml:space="preserve"> </v>
          </cell>
          <cell r="P45" t="str">
            <v xml:space="preserve"> </v>
          </cell>
          <cell r="Q45" t="str">
            <v xml:space="preserve"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 xml:space="preserve"> </v>
          </cell>
          <cell r="Z45" t="str">
            <v xml:space="preserve"> </v>
          </cell>
          <cell r="AA45" t="str">
            <v xml:space="preserve"> </v>
          </cell>
          <cell r="AB45" t="str">
            <v xml:space="preserve"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 xml:space="preserve"> </v>
          </cell>
          <cell r="AK45" t="str">
            <v xml:space="preserve"> </v>
          </cell>
          <cell r="AL45" t="str">
            <v xml:space="preserve"> </v>
          </cell>
          <cell r="AM45" t="str">
            <v xml:space="preserve"> </v>
          </cell>
          <cell r="AN45" t="str">
            <v xml:space="preserve"> </v>
          </cell>
          <cell r="AO45" t="str">
            <v xml:space="preserve"> </v>
          </cell>
          <cell r="AP45" t="str">
            <v xml:space="preserve"> </v>
          </cell>
          <cell r="AQ45" t="str">
            <v xml:space="preserve"> </v>
          </cell>
          <cell r="AT45" t="str">
            <v xml:space="preserve"> </v>
          </cell>
          <cell r="AV45" t="str">
            <v xml:space="preserve"> </v>
          </cell>
          <cell r="AW45" t="str">
            <v xml:space="preserve"> </v>
          </cell>
          <cell r="AX45" t="str">
            <v xml:space="preserve"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 xml:space="preserve"> </v>
          </cell>
          <cell r="E62" t="str">
            <v xml:space="preserve"> </v>
          </cell>
          <cell r="F62" t="str">
            <v xml:space="preserve"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 xml:space="preserve"> </v>
          </cell>
          <cell r="AW116" t="str">
            <v xml:space="preserve"> </v>
          </cell>
          <cell r="AX116" t="str">
            <v xml:space="preserve"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 xml:space="preserve"> </v>
          </cell>
          <cell r="AW120" t="str">
            <v xml:space="preserve"> </v>
          </cell>
          <cell r="AX120" t="str">
            <v xml:space="preserve"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 xml:space="preserve"> </v>
          </cell>
          <cell r="E152" t="str">
            <v xml:space="preserve"> </v>
          </cell>
          <cell r="F152" t="str">
            <v xml:space="preserve"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 xml:space="preserve"> </v>
          </cell>
          <cell r="O152" t="str">
            <v xml:space="preserve"> </v>
          </cell>
          <cell r="P152" t="str">
            <v xml:space="preserve"> </v>
          </cell>
          <cell r="Q152" t="str">
            <v xml:space="preserve"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 xml:space="preserve"> </v>
          </cell>
          <cell r="Z152" t="str">
            <v xml:space="preserve"> </v>
          </cell>
          <cell r="AA152" t="str">
            <v xml:space="preserve"> </v>
          </cell>
          <cell r="AB152" t="str">
            <v xml:space="preserve"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 xml:space="preserve"> </v>
          </cell>
          <cell r="AK152" t="str">
            <v xml:space="preserve"> </v>
          </cell>
          <cell r="AL152" t="str">
            <v xml:space="preserve"> </v>
          </cell>
          <cell r="AM152" t="str">
            <v xml:space="preserve"> </v>
          </cell>
          <cell r="AN152" t="str">
            <v xml:space="preserve"> </v>
          </cell>
          <cell r="AO152" t="str">
            <v xml:space="preserve"> </v>
          </cell>
          <cell r="AP152" t="str">
            <v xml:space="preserve"> </v>
          </cell>
          <cell r="AQ152" t="str">
            <v xml:space="preserve"> </v>
          </cell>
          <cell r="AT152" t="str">
            <v xml:space="preserve"> </v>
          </cell>
          <cell r="AV152" t="str">
            <v xml:space="preserve"> </v>
          </cell>
          <cell r="AW152" t="str">
            <v xml:space="preserve"> </v>
          </cell>
          <cell r="AX152" t="str">
            <v xml:space="preserve"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 xml:space="preserve"> </v>
          </cell>
          <cell r="AN171" t="str">
            <v xml:space="preserve"> </v>
          </cell>
          <cell r="AO171" t="str">
            <v xml:space="preserve"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 xml:space="preserve"> </v>
          </cell>
          <cell r="E173" t="str">
            <v xml:space="preserve"> </v>
          </cell>
          <cell r="F173" t="str">
            <v xml:space="preserve"> </v>
          </cell>
          <cell r="N173" t="str">
            <v xml:space="preserve"> </v>
          </cell>
          <cell r="O173" t="str">
            <v xml:space="preserve"> </v>
          </cell>
          <cell r="P173" t="str">
            <v xml:space="preserve"> </v>
          </cell>
          <cell r="Q173" t="str">
            <v xml:space="preserve"> </v>
          </cell>
          <cell r="Y173" t="str">
            <v xml:space="preserve"> </v>
          </cell>
          <cell r="Z173" t="str">
            <v xml:space="preserve"> </v>
          </cell>
          <cell r="AA173" t="str">
            <v xml:space="preserve"> </v>
          </cell>
          <cell r="AB173" t="str">
            <v xml:space="preserve"> </v>
          </cell>
          <cell r="AJ173" t="str">
            <v xml:space="preserve"> </v>
          </cell>
          <cell r="AK173" t="str">
            <v xml:space="preserve"> </v>
          </cell>
          <cell r="AL173" t="str">
            <v xml:space="preserve"> </v>
          </cell>
          <cell r="AM173" t="str">
            <v xml:space="preserve"> </v>
          </cell>
          <cell r="AN173" t="str">
            <v xml:space="preserve"> </v>
          </cell>
          <cell r="AO173" t="str">
            <v xml:space="preserve"> </v>
          </cell>
          <cell r="AP173" t="str">
            <v xml:space="preserve"> </v>
          </cell>
          <cell r="AQ173" t="str">
            <v xml:space="preserve"> </v>
          </cell>
          <cell r="AT173" t="str">
            <v xml:space="preserve"> </v>
          </cell>
          <cell r="AV173" t="str">
            <v xml:space="preserve"> </v>
          </cell>
          <cell r="AW173" t="str">
            <v xml:space="preserve"> </v>
          </cell>
          <cell r="AX173" t="str">
            <v xml:space="preserve"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 xml:space="preserve"> </v>
          </cell>
          <cell r="E275" t="str">
            <v xml:space="preserve"> </v>
          </cell>
          <cell r="F275" t="str">
            <v xml:space="preserve"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 xml:space="preserve"> </v>
          </cell>
          <cell r="O275" t="str">
            <v xml:space="preserve"> </v>
          </cell>
          <cell r="P275" t="str">
            <v xml:space="preserve"> </v>
          </cell>
          <cell r="Q275" t="str">
            <v xml:space="preserve"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 xml:space="preserve"> </v>
          </cell>
          <cell r="Z275" t="str">
            <v xml:space="preserve"> </v>
          </cell>
          <cell r="AA275" t="str">
            <v xml:space="preserve"> </v>
          </cell>
          <cell r="AB275" t="str">
            <v xml:space="preserve"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 xml:space="preserve"> </v>
          </cell>
          <cell r="AK275" t="str">
            <v xml:space="preserve"> </v>
          </cell>
          <cell r="AL275" t="str">
            <v xml:space="preserve"> </v>
          </cell>
          <cell r="AM275" t="str">
            <v xml:space="preserve"> </v>
          </cell>
          <cell r="AN275" t="str">
            <v xml:space="preserve"> </v>
          </cell>
          <cell r="AO275" t="str">
            <v xml:space="preserve"> </v>
          </cell>
          <cell r="AP275" t="str">
            <v xml:space="preserve"> </v>
          </cell>
          <cell r="AQ275" t="str">
            <v xml:space="preserve"> </v>
          </cell>
          <cell r="AT275" t="str">
            <v xml:space="preserve"> </v>
          </cell>
          <cell r="AV275" t="str">
            <v xml:space="preserve"> </v>
          </cell>
          <cell r="AW275" t="str">
            <v xml:space="preserve"> </v>
          </cell>
          <cell r="AX275" t="str">
            <v xml:space="preserve"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 xml:space="preserve"> </v>
          </cell>
          <cell r="E277" t="str">
            <v xml:space="preserve"> </v>
          </cell>
          <cell r="F277" t="str">
            <v xml:space="preserve"> </v>
          </cell>
          <cell r="N277" t="str">
            <v xml:space="preserve"> </v>
          </cell>
          <cell r="O277" t="str">
            <v xml:space="preserve"> </v>
          </cell>
          <cell r="P277" t="str">
            <v xml:space="preserve"> </v>
          </cell>
          <cell r="Q277" t="str">
            <v xml:space="preserve"> </v>
          </cell>
          <cell r="Y277" t="str">
            <v xml:space="preserve"> </v>
          </cell>
          <cell r="Z277" t="str">
            <v xml:space="preserve"> </v>
          </cell>
          <cell r="AA277" t="str">
            <v xml:space="preserve"> </v>
          </cell>
          <cell r="AB277" t="str">
            <v xml:space="preserve"> </v>
          </cell>
          <cell r="AJ277" t="str">
            <v xml:space="preserve"> </v>
          </cell>
          <cell r="AK277" t="str">
            <v xml:space="preserve"> </v>
          </cell>
          <cell r="AL277" t="str">
            <v xml:space="preserve"> </v>
          </cell>
          <cell r="AM277" t="str">
            <v xml:space="preserve"> </v>
          </cell>
          <cell r="AN277" t="str">
            <v xml:space="preserve"> </v>
          </cell>
          <cell r="AO277" t="str">
            <v xml:space="preserve"> </v>
          </cell>
          <cell r="AP277" t="str">
            <v xml:space="preserve"> </v>
          </cell>
          <cell r="AQ277" t="str">
            <v xml:space="preserve"> </v>
          </cell>
          <cell r="AT277" t="str">
            <v xml:space="preserve"> </v>
          </cell>
          <cell r="AV277" t="str">
            <v xml:space="preserve"> </v>
          </cell>
          <cell r="AW277" t="str">
            <v xml:space="preserve"> </v>
          </cell>
          <cell r="AX277" t="str">
            <v xml:space="preserve"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 xml:space="preserve"> </v>
          </cell>
          <cell r="O385" t="str">
            <v xml:space="preserve"> </v>
          </cell>
          <cell r="P385" t="str">
            <v xml:space="preserve"> </v>
          </cell>
          <cell r="Q385" t="str">
            <v xml:space="preserve"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 xml:space="preserve"> </v>
          </cell>
          <cell r="O386" t="str">
            <v xml:space="preserve"> </v>
          </cell>
          <cell r="P386" t="str">
            <v xml:space="preserve"> </v>
          </cell>
          <cell r="Q386" t="str">
            <v xml:space="preserve"> </v>
          </cell>
        </row>
        <row r="387">
          <cell r="N387" t="str">
            <v xml:space="preserve"> </v>
          </cell>
          <cell r="O387" t="str">
            <v xml:space="preserve"> </v>
          </cell>
          <cell r="P387" t="str">
            <v xml:space="preserve"> </v>
          </cell>
          <cell r="Q387" t="str">
            <v xml:space="preserve"> </v>
          </cell>
        </row>
        <row r="388">
          <cell r="N388" t="str">
            <v xml:space="preserve"> </v>
          </cell>
          <cell r="O388" t="str">
            <v xml:space="preserve"> </v>
          </cell>
          <cell r="P388" t="str">
            <v xml:space="preserve"> </v>
          </cell>
          <cell r="Q388" t="str">
            <v xml:space="preserve"> </v>
          </cell>
          <cell r="Y388" t="str">
            <v xml:space="preserve"> </v>
          </cell>
          <cell r="Z388" t="str">
            <v xml:space="preserve"> </v>
          </cell>
          <cell r="AA388" t="str">
            <v xml:space="preserve"> </v>
          </cell>
          <cell r="AB388" t="str">
            <v xml:space="preserve"> </v>
          </cell>
          <cell r="AJ388" t="str">
            <v xml:space="preserve"> </v>
          </cell>
          <cell r="AK388" t="str">
            <v xml:space="preserve"> </v>
          </cell>
          <cell r="AL388" t="str">
            <v xml:space="preserve"> </v>
          </cell>
          <cell r="AM388" t="str">
            <v xml:space="preserve"> </v>
          </cell>
          <cell r="AN388" t="str">
            <v xml:space="preserve"> </v>
          </cell>
          <cell r="AO388" t="str">
            <v xml:space="preserve"> </v>
          </cell>
          <cell r="AP388" t="str">
            <v xml:space="preserve"> </v>
          </cell>
          <cell r="AQ388" t="str">
            <v xml:space="preserve"> </v>
          </cell>
          <cell r="AT388" t="str">
            <v xml:space="preserve"> </v>
          </cell>
          <cell r="AV388" t="str">
            <v xml:space="preserve"> </v>
          </cell>
          <cell r="AW388" t="str">
            <v xml:space="preserve"> </v>
          </cell>
          <cell r="AX388" t="str">
            <v xml:space="preserve"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 xml:space="preserve"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 xml:space="preserve"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 xml:space="preserve"> </v>
          </cell>
          <cell r="BU404" t="str">
            <v xml:space="preserve"> </v>
          </cell>
          <cell r="BV404" t="str">
            <v xml:space="preserve"> </v>
          </cell>
          <cell r="BW404" t="str">
            <v xml:space="preserve"> </v>
          </cell>
          <cell r="BX404" t="str">
            <v xml:space="preserve"> </v>
          </cell>
          <cell r="BY404" t="str">
            <v xml:space="preserve"> </v>
          </cell>
          <cell r="BZ404" t="str">
            <v xml:space="preserve"> </v>
          </cell>
          <cell r="CB404" t="str">
            <v xml:space="preserve"> </v>
          </cell>
          <cell r="CC404" t="str">
            <v xml:space="preserve"> </v>
          </cell>
          <cell r="CD404" t="str">
            <v xml:space="preserve"> </v>
          </cell>
          <cell r="CE404" t="str">
            <v xml:space="preserve"> </v>
          </cell>
          <cell r="CF404" t="str">
            <v xml:space="preserve"> </v>
          </cell>
          <cell r="CG404" t="str">
            <v xml:space="preserve"> </v>
          </cell>
          <cell r="CH404" t="str">
            <v xml:space="preserve"> </v>
          </cell>
          <cell r="CI404" t="str">
            <v xml:space="preserve"> </v>
          </cell>
          <cell r="CJ404" t="str">
            <v xml:space="preserve"> </v>
          </cell>
          <cell r="CL404" t="str">
            <v xml:space="preserve"> </v>
          </cell>
          <cell r="CM404" t="str">
            <v xml:space="preserve"> </v>
          </cell>
          <cell r="CN404" t="str">
            <v xml:space="preserve"> </v>
          </cell>
          <cell r="CO404" t="str">
            <v xml:space="preserve"> </v>
          </cell>
          <cell r="CP404" t="str">
            <v xml:space="preserve"> </v>
          </cell>
          <cell r="CQ404" t="str">
            <v xml:space="preserve"> </v>
          </cell>
          <cell r="CR404" t="str">
            <v xml:space="preserve"> </v>
          </cell>
          <cell r="CS404" t="str">
            <v xml:space="preserve"> </v>
          </cell>
          <cell r="CT404" t="str">
            <v xml:space="preserve"> </v>
          </cell>
          <cell r="CV404" t="str">
            <v xml:space="preserve"> </v>
          </cell>
          <cell r="CW404" t="str">
            <v xml:space="preserve"> </v>
          </cell>
          <cell r="CX404" t="str">
            <v xml:space="preserve"> </v>
          </cell>
          <cell r="CY404" t="str">
            <v xml:space="preserve"> </v>
          </cell>
          <cell r="CZ404" t="str">
            <v xml:space="preserve"> </v>
          </cell>
          <cell r="DA404" t="str">
            <v xml:space="preserve"> </v>
          </cell>
          <cell r="DB404" t="str">
            <v xml:space="preserve"> </v>
          </cell>
          <cell r="DC404" t="str">
            <v xml:space="preserve"> </v>
          </cell>
          <cell r="DD404" t="str">
            <v xml:space="preserve"> </v>
          </cell>
          <cell r="DF404" t="str">
            <v xml:space="preserve"> </v>
          </cell>
          <cell r="DG404" t="str">
            <v xml:space="preserve"> </v>
          </cell>
          <cell r="DH404" t="str">
            <v xml:space="preserve"> </v>
          </cell>
          <cell r="DI404" t="str">
            <v xml:space="preserve"> </v>
          </cell>
          <cell r="DJ404" t="str">
            <v xml:space="preserve"> </v>
          </cell>
          <cell r="DK404" t="str">
            <v xml:space="preserve"> </v>
          </cell>
          <cell r="DL404" t="str">
            <v xml:space="preserve"> </v>
          </cell>
          <cell r="DM404" t="str">
            <v xml:space="preserve"> </v>
          </cell>
          <cell r="DN404" t="str">
            <v xml:space="preserve"> </v>
          </cell>
          <cell r="DP404" t="str">
            <v xml:space="preserve"> </v>
          </cell>
          <cell r="DQ404" t="str">
            <v xml:space="preserve"> </v>
          </cell>
          <cell r="DR404" t="str">
            <v xml:space="preserve"> </v>
          </cell>
          <cell r="DS404" t="str">
            <v xml:space="preserve"> </v>
          </cell>
          <cell r="DT404" t="str">
            <v xml:space="preserve"> </v>
          </cell>
          <cell r="DU404" t="str">
            <v xml:space="preserve"> </v>
          </cell>
          <cell r="DV404" t="str">
            <v xml:space="preserve"> </v>
          </cell>
          <cell r="DW404" t="str">
            <v xml:space="preserve"> </v>
          </cell>
          <cell r="DX404" t="str">
            <v xml:space="preserve"> </v>
          </cell>
          <cell r="DZ404" t="str">
            <v xml:space="preserve"> </v>
          </cell>
          <cell r="EA404" t="str">
            <v xml:space="preserve"> </v>
          </cell>
          <cell r="EB404" t="str">
            <v xml:space="preserve"> </v>
          </cell>
          <cell r="EC404" t="str">
            <v xml:space="preserve"> </v>
          </cell>
          <cell r="ED404" t="str">
            <v xml:space="preserve"> </v>
          </cell>
          <cell r="EE404" t="str">
            <v xml:space="preserve"> </v>
          </cell>
          <cell r="EF404" t="str">
            <v xml:space="preserve"> </v>
          </cell>
          <cell r="EG404" t="str">
            <v xml:space="preserve"> </v>
          </cell>
          <cell r="EH404" t="str">
            <v xml:space="preserve"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 xml:space="preserve"> </v>
          </cell>
          <cell r="BU405" t="str">
            <v xml:space="preserve"> </v>
          </cell>
          <cell r="BV405" t="str">
            <v xml:space="preserve"> </v>
          </cell>
          <cell r="BW405" t="str">
            <v xml:space="preserve"> </v>
          </cell>
          <cell r="BX405" t="str">
            <v xml:space="preserve"> </v>
          </cell>
          <cell r="BY405" t="str">
            <v xml:space="preserve"> </v>
          </cell>
          <cell r="BZ405" t="str">
            <v xml:space="preserve"> </v>
          </cell>
          <cell r="CB405" t="str">
            <v xml:space="preserve"> </v>
          </cell>
          <cell r="CC405" t="str">
            <v xml:space="preserve"> </v>
          </cell>
          <cell r="CD405" t="str">
            <v xml:space="preserve"> </v>
          </cell>
          <cell r="CE405" t="str">
            <v xml:space="preserve"> </v>
          </cell>
          <cell r="CF405" t="str">
            <v xml:space="preserve"> </v>
          </cell>
          <cell r="CG405" t="str">
            <v xml:space="preserve"> </v>
          </cell>
          <cell r="CH405" t="str">
            <v xml:space="preserve"> </v>
          </cell>
          <cell r="CI405" t="str">
            <v xml:space="preserve"> </v>
          </cell>
          <cell r="CJ405" t="str">
            <v xml:space="preserve"> </v>
          </cell>
          <cell r="CL405" t="str">
            <v xml:space="preserve"> </v>
          </cell>
          <cell r="CM405" t="str">
            <v xml:space="preserve"> </v>
          </cell>
          <cell r="CN405" t="str">
            <v xml:space="preserve"> </v>
          </cell>
          <cell r="CO405" t="str">
            <v xml:space="preserve"> </v>
          </cell>
          <cell r="CP405" t="str">
            <v xml:space="preserve"> </v>
          </cell>
          <cell r="CQ405" t="str">
            <v xml:space="preserve"> </v>
          </cell>
          <cell r="CR405" t="str">
            <v xml:space="preserve"> </v>
          </cell>
          <cell r="CS405" t="str">
            <v xml:space="preserve"> </v>
          </cell>
          <cell r="CT405" t="str">
            <v xml:space="preserve"> </v>
          </cell>
          <cell r="CV405" t="str">
            <v xml:space="preserve"> </v>
          </cell>
          <cell r="CW405" t="str">
            <v xml:space="preserve"> </v>
          </cell>
          <cell r="CX405" t="str">
            <v xml:space="preserve"> </v>
          </cell>
          <cell r="CY405" t="str">
            <v xml:space="preserve"> </v>
          </cell>
          <cell r="CZ405" t="str">
            <v xml:space="preserve"> </v>
          </cell>
          <cell r="DA405" t="str">
            <v xml:space="preserve"> </v>
          </cell>
          <cell r="DB405" t="str">
            <v xml:space="preserve"> </v>
          </cell>
          <cell r="DC405" t="str">
            <v xml:space="preserve"> </v>
          </cell>
          <cell r="DD405" t="str">
            <v xml:space="preserve"> </v>
          </cell>
          <cell r="DF405" t="str">
            <v xml:space="preserve"> </v>
          </cell>
          <cell r="DG405" t="str">
            <v xml:space="preserve"> </v>
          </cell>
          <cell r="DH405" t="str">
            <v xml:space="preserve"> </v>
          </cell>
          <cell r="DI405" t="str">
            <v xml:space="preserve"> </v>
          </cell>
          <cell r="DJ405" t="str">
            <v xml:space="preserve"> </v>
          </cell>
          <cell r="DK405" t="str">
            <v xml:space="preserve"> </v>
          </cell>
          <cell r="DL405" t="str">
            <v xml:space="preserve"> </v>
          </cell>
          <cell r="DM405" t="str">
            <v xml:space="preserve"> </v>
          </cell>
          <cell r="DN405" t="str">
            <v xml:space="preserve"> </v>
          </cell>
          <cell r="DP405" t="str">
            <v xml:space="preserve"> </v>
          </cell>
          <cell r="DQ405" t="str">
            <v xml:space="preserve"> </v>
          </cell>
          <cell r="DR405" t="str">
            <v xml:space="preserve"> </v>
          </cell>
          <cell r="DS405" t="str">
            <v xml:space="preserve"> </v>
          </cell>
          <cell r="DT405" t="str">
            <v xml:space="preserve"> </v>
          </cell>
          <cell r="DU405" t="str">
            <v xml:space="preserve"> </v>
          </cell>
          <cell r="DV405" t="str">
            <v xml:space="preserve"> </v>
          </cell>
          <cell r="DW405" t="str">
            <v xml:space="preserve"> </v>
          </cell>
          <cell r="DX405" t="str">
            <v xml:space="preserve"> </v>
          </cell>
          <cell r="DZ405" t="str">
            <v xml:space="preserve"> </v>
          </cell>
          <cell r="EA405" t="str">
            <v xml:space="preserve"> </v>
          </cell>
          <cell r="EB405" t="str">
            <v xml:space="preserve"> </v>
          </cell>
          <cell r="EC405" t="str">
            <v xml:space="preserve"> </v>
          </cell>
          <cell r="ED405" t="str">
            <v xml:space="preserve"> </v>
          </cell>
          <cell r="EE405" t="str">
            <v xml:space="preserve"> </v>
          </cell>
          <cell r="EF405" t="str">
            <v xml:space="preserve"> </v>
          </cell>
          <cell r="EG405" t="str">
            <v xml:space="preserve"> </v>
          </cell>
          <cell r="EH405" t="str">
            <v xml:space="preserve"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 xml:space="preserve"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 xml:space="preserve"> </v>
          </cell>
          <cell r="BU412" t="str">
            <v xml:space="preserve"> </v>
          </cell>
          <cell r="BY412">
            <v>496</v>
          </cell>
          <cell r="CD412" t="str">
            <v xml:space="preserve"> </v>
          </cell>
          <cell r="CE412" t="str">
            <v xml:space="preserve"> </v>
          </cell>
          <cell r="CI412">
            <v>1148</v>
          </cell>
          <cell r="CN412" t="str">
            <v xml:space="preserve"> </v>
          </cell>
          <cell r="CO412" t="str">
            <v xml:space="preserve"> </v>
          </cell>
          <cell r="CS412">
            <v>282</v>
          </cell>
          <cell r="CX412" t="str">
            <v xml:space="preserve"> </v>
          </cell>
          <cell r="CY412" t="str">
            <v xml:space="preserve"> </v>
          </cell>
          <cell r="DC412">
            <v>3903</v>
          </cell>
          <cell r="DH412" t="str">
            <v xml:space="preserve"> </v>
          </cell>
          <cell r="DI412" t="str">
            <v xml:space="preserve"> </v>
          </cell>
          <cell r="DM412">
            <v>341</v>
          </cell>
          <cell r="DR412" t="str">
            <v xml:space="preserve"> </v>
          </cell>
          <cell r="DS412" t="str">
            <v xml:space="preserve"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 xml:space="preserve"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 xml:space="preserve"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 xml:space="preserve"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 xml:space="preserve"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 xml:space="preserve"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 xml:space="preserve"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 xml:space="preserve"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 xml:space="preserve"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 xml:space="preserve"> </v>
          </cell>
          <cell r="CE431" t="str">
            <v xml:space="preserve"> </v>
          </cell>
          <cell r="CO431" t="str">
            <v xml:space="preserve"> </v>
          </cell>
          <cell r="CY431" t="str">
            <v xml:space="preserve"> </v>
          </cell>
          <cell r="DI431" t="str">
            <v xml:space="preserve"> </v>
          </cell>
          <cell r="DS431" t="str">
            <v xml:space="preserve"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 xml:space="preserve"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 xml:space="preserve"> </v>
          </cell>
          <cell r="CO439" t="str">
            <v xml:space="preserve"> </v>
          </cell>
          <cell r="CY439" t="str">
            <v xml:space="preserve"> </v>
          </cell>
          <cell r="DI439" t="str">
            <v xml:space="preserve"> </v>
          </cell>
          <cell r="DS439" t="str">
            <v xml:space="preserve"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 xml:space="preserve"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 xml:space="preserve"> </v>
          </cell>
          <cell r="CE447" t="str">
            <v xml:space="preserve"> </v>
          </cell>
          <cell r="CO447" t="str">
            <v xml:space="preserve"> </v>
          </cell>
          <cell r="CY447" t="str">
            <v xml:space="preserve"> </v>
          </cell>
          <cell r="DI447" t="str">
            <v xml:space="preserve"> </v>
          </cell>
          <cell r="DS447" t="str">
            <v xml:space="preserve"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 xml:space="preserve"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 xml:space="preserve"> </v>
          </cell>
          <cell r="CE455" t="str">
            <v xml:space="preserve"> </v>
          </cell>
          <cell r="CO455" t="str">
            <v xml:space="preserve"> </v>
          </cell>
          <cell r="CY455" t="str">
            <v xml:space="preserve"> </v>
          </cell>
          <cell r="DI455" t="str">
            <v xml:space="preserve"> </v>
          </cell>
          <cell r="DS455" t="str">
            <v xml:space="preserve"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 xml:space="preserve"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 xml:space="preserve"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 xml:space="preserve"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 xml:space="preserve"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 xml:space="preserve"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 xml:space="preserve"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 xml:space="preserve"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 xml:space="preserve"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 xml:space="preserve"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 xml:space="preserve"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 xml:space="preserve"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 xml:space="preserve"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 xml:space="preserve"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 xml:space="preserve"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 xml:space="preserve"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 xml:space="preserve"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 xml:space="preserve"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 xml:space="preserve"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 xml:space="preserve"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 xml:space="preserve"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 xml:space="preserve"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 xml:space="preserve"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 xml:space="preserve"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 xml:space="preserve"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 xml:space="preserve"> </v>
          </cell>
          <cell r="N742" t="str">
            <v xml:space="preserve"> </v>
          </cell>
          <cell r="O742" t="str">
            <v xml:space="preserve"> </v>
          </cell>
          <cell r="P742" t="str">
            <v xml:space="preserve"> </v>
          </cell>
          <cell r="Q742" t="str">
            <v xml:space="preserve"> </v>
          </cell>
          <cell r="S742">
            <v>431.20001200000002</v>
          </cell>
          <cell r="T742">
            <v>482</v>
          </cell>
          <cell r="U742" t="str">
            <v xml:space="preserve"> </v>
          </cell>
          <cell r="Y742" t="str">
            <v xml:space="preserve"> </v>
          </cell>
          <cell r="Z742" t="str">
            <v xml:space="preserve"> </v>
          </cell>
          <cell r="AA742" t="str">
            <v xml:space="preserve"> </v>
          </cell>
          <cell r="AB742" t="str">
            <v xml:space="preserve"> </v>
          </cell>
          <cell r="AD742">
            <v>326.20001200000002</v>
          </cell>
          <cell r="AE742">
            <v>372</v>
          </cell>
          <cell r="AF742" t="str">
            <v xml:space="preserve"> </v>
          </cell>
          <cell r="AJ742" t="str">
            <v xml:space="preserve"> </v>
          </cell>
          <cell r="AK742" t="str">
            <v xml:space="preserve"> </v>
          </cell>
          <cell r="AL742" t="str">
            <v xml:space="preserve"> </v>
          </cell>
          <cell r="AM742" t="str">
            <v xml:space="preserve"> </v>
          </cell>
          <cell r="AN742" t="str">
            <v xml:space="preserve"> </v>
          </cell>
          <cell r="AO742" t="str">
            <v xml:space="preserve"> </v>
          </cell>
          <cell r="AP742" t="str">
            <v xml:space="preserve"> </v>
          </cell>
          <cell r="AQ742" t="str">
            <v xml:space="preserve"> </v>
          </cell>
          <cell r="AT742" t="str">
            <v xml:space="preserve"> </v>
          </cell>
          <cell r="AV742" t="str">
            <v xml:space="preserve"> </v>
          </cell>
          <cell r="AW742" t="str">
            <v xml:space="preserve"> </v>
          </cell>
          <cell r="AX742" t="str">
            <v xml:space="preserve"> </v>
          </cell>
          <cell r="AZ742">
            <v>223.98800700000001</v>
          </cell>
          <cell r="BA742">
            <v>256.39999399999999</v>
          </cell>
          <cell r="BB742" t="str">
            <v xml:space="preserve"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 xml:space="preserve"> </v>
          </cell>
          <cell r="N751" t="str">
            <v xml:space="preserve"> </v>
          </cell>
          <cell r="O751" t="str">
            <v xml:space="preserve"> </v>
          </cell>
          <cell r="P751" t="str">
            <v xml:space="preserve"> </v>
          </cell>
          <cell r="Q751" t="str">
            <v xml:space="preserve"> </v>
          </cell>
          <cell r="S751">
            <v>256.65496107159998</v>
          </cell>
          <cell r="T751">
            <v>282.51941074209998</v>
          </cell>
          <cell r="U751" t="str">
            <v xml:space="preserve"> </v>
          </cell>
          <cell r="Y751" t="str">
            <v xml:space="preserve"> </v>
          </cell>
          <cell r="Z751" t="str">
            <v xml:space="preserve"> </v>
          </cell>
          <cell r="AA751" t="str">
            <v xml:space="preserve"> </v>
          </cell>
          <cell r="AB751" t="str">
            <v xml:space="preserve"> </v>
          </cell>
          <cell r="AD751">
            <v>206.91563574849997</v>
          </cell>
          <cell r="AE751">
            <v>227.80614165049997</v>
          </cell>
          <cell r="AF751" t="str">
            <v xml:space="preserve"> </v>
          </cell>
          <cell r="AJ751" t="str">
            <v xml:space="preserve"> </v>
          </cell>
          <cell r="AK751" t="str">
            <v xml:space="preserve"> </v>
          </cell>
          <cell r="AL751" t="str">
            <v xml:space="preserve"> </v>
          </cell>
          <cell r="AM751" t="str">
            <v xml:space="preserve"> </v>
          </cell>
          <cell r="AN751" t="str">
            <v xml:space="preserve"> </v>
          </cell>
          <cell r="AO751" t="str">
            <v xml:space="preserve"> </v>
          </cell>
          <cell r="AP751" t="str">
            <v xml:space="preserve"> </v>
          </cell>
          <cell r="AQ751" t="str">
            <v xml:space="preserve"> </v>
          </cell>
          <cell r="AT751" t="str">
            <v xml:space="preserve"> </v>
          </cell>
          <cell r="AV751" t="str">
            <v xml:space="preserve"> </v>
          </cell>
          <cell r="AW751" t="str">
            <v xml:space="preserve"> </v>
          </cell>
          <cell r="AX751" t="str">
            <v xml:space="preserve"> </v>
          </cell>
          <cell r="AZ751">
            <v>130.20762313579999</v>
          </cell>
          <cell r="BA751">
            <v>142.9309445172</v>
          </cell>
          <cell r="BB751" t="str">
            <v xml:space="preserve"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 xml:space="preserve"> </v>
          </cell>
          <cell r="N752" t="str">
            <v xml:space="preserve"> </v>
          </cell>
          <cell r="O752" t="str">
            <v xml:space="preserve"> </v>
          </cell>
          <cell r="P752" t="str">
            <v xml:space="preserve"> </v>
          </cell>
          <cell r="Q752" t="str">
            <v xml:space="preserve"> </v>
          </cell>
          <cell r="S752">
            <v>256.84100097249996</v>
          </cell>
          <cell r="T752">
            <v>273.96323490690003</v>
          </cell>
          <cell r="U752" t="str">
            <v xml:space="preserve"> </v>
          </cell>
          <cell r="Y752" t="str">
            <v xml:space="preserve"> </v>
          </cell>
          <cell r="Z752" t="str">
            <v xml:space="preserve"> </v>
          </cell>
          <cell r="AA752" t="str">
            <v xml:space="preserve"> </v>
          </cell>
          <cell r="AB752" t="str">
            <v xml:space="preserve"> </v>
          </cell>
          <cell r="AD752">
            <v>194.16941905969998</v>
          </cell>
          <cell r="AE752">
            <v>206.31777343239997</v>
          </cell>
          <cell r="AF752" t="str">
            <v xml:space="preserve"> </v>
          </cell>
          <cell r="AJ752" t="str">
            <v xml:space="preserve"> </v>
          </cell>
          <cell r="AK752" t="str">
            <v xml:space="preserve"> </v>
          </cell>
          <cell r="AL752" t="str">
            <v xml:space="preserve"> </v>
          </cell>
          <cell r="AM752" t="str">
            <v xml:space="preserve"> </v>
          </cell>
          <cell r="AN752" t="str">
            <v xml:space="preserve"> </v>
          </cell>
          <cell r="AO752" t="str">
            <v xml:space="preserve"> </v>
          </cell>
          <cell r="AP752" t="str">
            <v xml:space="preserve"> </v>
          </cell>
          <cell r="AQ752" t="str">
            <v xml:space="preserve"> </v>
          </cell>
          <cell r="AT752" t="str">
            <v xml:space="preserve"> </v>
          </cell>
          <cell r="AV752" t="str">
            <v xml:space="preserve"> </v>
          </cell>
          <cell r="AW752" t="str">
            <v xml:space="preserve"> </v>
          </cell>
          <cell r="AX752" t="str">
            <v xml:space="preserve"> </v>
          </cell>
          <cell r="AZ752">
            <v>128.1255306086</v>
          </cell>
          <cell r="BA752">
            <v>136.69860679019999</v>
          </cell>
          <cell r="BB752" t="str">
            <v xml:space="preserve"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 xml:space="preserve"> </v>
          </cell>
          <cell r="O754" t="str">
            <v xml:space="preserve"> </v>
          </cell>
          <cell r="P754" t="str">
            <v xml:space="preserve"> </v>
          </cell>
          <cell r="Q754" t="str">
            <v xml:space="preserve"> </v>
          </cell>
          <cell r="S754">
            <v>236</v>
          </cell>
          <cell r="T754">
            <v>249</v>
          </cell>
          <cell r="U754">
            <v>298</v>
          </cell>
          <cell r="Y754" t="str">
            <v xml:space="preserve"> </v>
          </cell>
          <cell r="Z754" t="str">
            <v xml:space="preserve"> </v>
          </cell>
          <cell r="AA754" t="str">
            <v xml:space="preserve"> </v>
          </cell>
          <cell r="AB754" t="str">
            <v xml:space="preserve"> </v>
          </cell>
          <cell r="AD754">
            <v>194</v>
          </cell>
          <cell r="AE754">
            <v>206</v>
          </cell>
          <cell r="AF754">
            <v>262</v>
          </cell>
          <cell r="AJ754" t="str">
            <v xml:space="preserve"> </v>
          </cell>
          <cell r="AK754" t="str">
            <v xml:space="preserve"> </v>
          </cell>
          <cell r="AL754" t="str">
            <v xml:space="preserve"> </v>
          </cell>
          <cell r="AM754" t="str">
            <v xml:space="preserve"> </v>
          </cell>
          <cell r="AN754" t="str">
            <v xml:space="preserve"> </v>
          </cell>
          <cell r="AO754" t="str">
            <v xml:space="preserve"> </v>
          </cell>
          <cell r="AP754" t="str">
            <v xml:space="preserve"> </v>
          </cell>
          <cell r="AQ754" t="str">
            <v xml:space="preserve"> </v>
          </cell>
          <cell r="AT754" t="str">
            <v xml:space="preserve"> </v>
          </cell>
          <cell r="AV754" t="str">
            <v xml:space="preserve"> </v>
          </cell>
          <cell r="AW754" t="str">
            <v xml:space="preserve"> </v>
          </cell>
          <cell r="AX754" t="str">
            <v xml:space="preserve"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 xml:space="preserve"> </v>
          </cell>
          <cell r="N759" t="str">
            <v xml:space="preserve"> </v>
          </cell>
          <cell r="O759" t="str">
            <v xml:space="preserve"> </v>
          </cell>
          <cell r="P759" t="str">
            <v xml:space="preserve"> </v>
          </cell>
          <cell r="Q759" t="str">
            <v xml:space="preserve"> </v>
          </cell>
          <cell r="S759">
            <v>280</v>
          </cell>
          <cell r="T759">
            <v>305</v>
          </cell>
          <cell r="U759" t="str">
            <v xml:space="preserve"> </v>
          </cell>
          <cell r="Y759" t="str">
            <v xml:space="preserve"> </v>
          </cell>
          <cell r="Z759" t="str">
            <v xml:space="preserve"> </v>
          </cell>
          <cell r="AA759" t="str">
            <v xml:space="preserve"> </v>
          </cell>
          <cell r="AB759" t="str">
            <v xml:space="preserve"> </v>
          </cell>
          <cell r="AD759">
            <v>215</v>
          </cell>
          <cell r="AE759">
            <v>235</v>
          </cell>
          <cell r="AF759" t="str">
            <v xml:space="preserve"> </v>
          </cell>
          <cell r="AJ759" t="str">
            <v xml:space="preserve"> </v>
          </cell>
          <cell r="AK759" t="str">
            <v xml:space="preserve"> </v>
          </cell>
          <cell r="AL759" t="str">
            <v xml:space="preserve"> </v>
          </cell>
          <cell r="AM759" t="str">
            <v xml:space="preserve"> </v>
          </cell>
          <cell r="AN759" t="str">
            <v xml:space="preserve"> </v>
          </cell>
          <cell r="AO759" t="str">
            <v xml:space="preserve"> </v>
          </cell>
          <cell r="AP759" t="str">
            <v xml:space="preserve"> </v>
          </cell>
          <cell r="AQ759" t="str">
            <v xml:space="preserve"> </v>
          </cell>
          <cell r="AT759" t="str">
            <v xml:space="preserve"> </v>
          </cell>
          <cell r="AV759" t="str">
            <v xml:space="preserve"> </v>
          </cell>
          <cell r="AW759" t="str">
            <v xml:space="preserve"> </v>
          </cell>
          <cell r="AX759" t="str">
            <v xml:space="preserve"> </v>
          </cell>
          <cell r="AZ759">
            <v>100.760002</v>
          </cell>
          <cell r="BA759">
            <v>116.959999</v>
          </cell>
          <cell r="BB759" t="str">
            <v xml:space="preserve"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 xml:space="preserve"> </v>
          </cell>
          <cell r="F764" t="str">
            <v xml:space="preserve"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 xml:space="preserve"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 xml:space="preserve"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 xml:space="preserve"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 xml:space="preserve"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 xml:space="preserve"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 xml:space="preserve"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 xml:space="preserve"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ina.gibson@jpmorgancazenove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"/>
  <sheetViews>
    <sheetView workbookViewId="0">
      <selection activeCell="B1" sqref="B1"/>
    </sheetView>
  </sheetViews>
  <sheetFormatPr baseColWidth="10" defaultColWidth="8.83203125" defaultRowHeight="13"/>
  <sheetData>
    <row r="1" spans="1:2">
      <c r="B1" t="s">
        <v>73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min="1" max="1" width="3" style="1" customWidth="1"/>
    <col min="2" max="4" width="2.83203125" style="1" customWidth="1"/>
    <col min="5" max="5" width="28.5" style="1" customWidth="1"/>
    <col min="6" max="8" width="7.1640625" style="1" customWidth="1"/>
    <col min="9" max="14" width="9.1640625" style="1"/>
    <col min="15" max="15" width="12.83203125" style="1" customWidth="1"/>
    <col min="16" max="16" width="9.1640625" style="1"/>
    <col min="17" max="17" width="10" style="1" customWidth="1"/>
    <col min="18" max="18" width="9.1640625" style="1"/>
    <col min="19" max="19" width="15.5" style="1" bestFit="1" customWidth="1"/>
    <col min="20" max="20" width="8.5" style="1" customWidth="1"/>
    <col min="21" max="21" width="3.6640625" style="1" customWidth="1"/>
    <col min="22" max="16384" width="9.1640625" style="1"/>
  </cols>
  <sheetData>
    <row r="2" spans="2:23">
      <c r="B2"/>
    </row>
    <row r="9" spans="2:23" ht="19">
      <c r="D9" s="4"/>
      <c r="E9" s="3"/>
      <c r="F9" s="3"/>
      <c r="G9" s="3"/>
      <c r="H9" s="3"/>
      <c r="I9" s="3"/>
      <c r="J9" s="3"/>
      <c r="K9" s="3"/>
      <c r="L9" s="3"/>
      <c r="M9" s="3"/>
      <c r="N9" s="3"/>
    </row>
    <row r="12" spans="2:23">
      <c r="W12" s="31"/>
    </row>
    <row r="13" spans="2:23">
      <c r="W13"/>
    </row>
    <row r="14" spans="2:23" ht="12.75" customHeight="1">
      <c r="C14" s="15"/>
      <c r="D14" s="356" t="s">
        <v>165</v>
      </c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W14"/>
    </row>
    <row r="15" spans="2:23" ht="12.75" customHeight="1">
      <c r="C15" s="15"/>
      <c r="D15" s="358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W15"/>
    </row>
    <row r="16" spans="2:23" ht="12.75" customHeight="1">
      <c r="C16" s="15"/>
      <c r="D16" s="358"/>
      <c r="E16" s="357"/>
      <c r="F16" s="357"/>
      <c r="G16" s="357"/>
      <c r="H16" s="357"/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7"/>
      <c r="T16" s="357"/>
      <c r="W16"/>
    </row>
    <row r="17" spans="3:23" ht="12.75" customHeight="1">
      <c r="D17" s="358"/>
      <c r="E17" s="357"/>
      <c r="F17" s="357"/>
      <c r="G17" s="357"/>
      <c r="H17" s="357"/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7"/>
      <c r="T17" s="357"/>
      <c r="W17"/>
    </row>
    <row r="18" spans="3:23">
      <c r="W18"/>
    </row>
    <row r="19" spans="3:23" ht="18">
      <c r="C19" s="359" t="s">
        <v>20</v>
      </c>
      <c r="E19" s="321">
        <f>Assumptions!D12</f>
        <v>46112</v>
      </c>
      <c r="W19"/>
    </row>
    <row r="20" spans="3:23">
      <c r="C20" s="359"/>
      <c r="W20"/>
    </row>
    <row r="21" spans="3:23">
      <c r="C21" s="359"/>
      <c r="W21"/>
    </row>
    <row r="22" spans="3:23">
      <c r="C22" s="359"/>
      <c r="W22"/>
    </row>
    <row r="23" spans="3:23">
      <c r="C23" s="359"/>
    </row>
    <row r="24" spans="3:23">
      <c r="C24" s="359"/>
    </row>
    <row r="25" spans="3:23">
      <c r="C25" s="359"/>
    </row>
    <row r="26" spans="3:23" ht="12.75" customHeight="1">
      <c r="C26" s="359"/>
    </row>
    <row r="27" spans="3:23">
      <c r="C27" s="359"/>
    </row>
    <row r="28" spans="3:23">
      <c r="C28" s="359"/>
    </row>
    <row r="29" spans="3:23" ht="4.5" customHeight="1">
      <c r="C29" s="359"/>
    </row>
    <row r="30" spans="3:23">
      <c r="C30" s="359"/>
      <c r="Q30" s="156"/>
      <c r="R30" s="157"/>
      <c r="S30" s="157"/>
    </row>
    <row r="31" spans="3:23">
      <c r="C31" s="359"/>
      <c r="Q31" s="157"/>
      <c r="R31" s="157"/>
      <c r="S31" s="157"/>
      <c r="V31" s="44"/>
    </row>
    <row r="32" spans="3:23">
      <c r="C32" s="359"/>
      <c r="Q32" s="157"/>
      <c r="R32" s="157"/>
      <c r="S32" s="157"/>
    </row>
    <row r="33" spans="3:19">
      <c r="C33" s="359"/>
      <c r="Q33" s="158"/>
      <c r="R33" s="157"/>
      <c r="S33" s="157"/>
    </row>
    <row r="34" spans="3:19">
      <c r="C34" s="359"/>
      <c r="Q34" s="158"/>
      <c r="R34" s="157"/>
      <c r="S34" s="157"/>
    </row>
    <row r="35" spans="3:19" ht="4.5" customHeight="1">
      <c r="C35" s="359"/>
      <c r="Q35" s="158"/>
      <c r="R35" s="157"/>
      <c r="S35" s="157"/>
    </row>
    <row r="36" spans="3:19">
      <c r="C36" s="359"/>
      <c r="Q36" s="158"/>
      <c r="R36" s="157"/>
      <c r="S36" s="157"/>
    </row>
    <row r="37" spans="3:19">
      <c r="C37" s="359"/>
      <c r="G37"/>
      <c r="Q37" s="158"/>
      <c r="R37" s="157"/>
      <c r="S37" s="157"/>
    </row>
    <row r="38" spans="3:19">
      <c r="C38" s="359"/>
      <c r="Q38" s="158"/>
      <c r="R38" s="157"/>
      <c r="S38" s="157"/>
    </row>
    <row r="39" spans="3:19">
      <c r="C39" s="359"/>
      <c r="Q39" s="158"/>
      <c r="R39" s="157"/>
      <c r="S39" s="157"/>
    </row>
    <row r="40" spans="3:19">
      <c r="C40" s="359"/>
    </row>
    <row r="41" spans="3:19">
      <c r="C41" s="359"/>
    </row>
    <row r="42" spans="3:19">
      <c r="C42" s="359"/>
    </row>
    <row r="43" spans="3:19">
      <c r="C43" s="359"/>
    </row>
    <row r="44" spans="3:19">
      <c r="J44"/>
    </row>
  </sheetData>
  <mergeCells count="2">
    <mergeCell ref="D14:T17"/>
    <mergeCell ref="C19:C43"/>
  </mergeCells>
  <phoneticPr fontId="4" type="noConversion"/>
  <hyperlinks>
    <hyperlink ref="Q28" r:id="rId1" display="gina.gibson@jpmorgancazenove.com" xr:uid="{00000000-0004-0000-0100-000000000000}"/>
  </hyperlinks>
  <pageMargins left="0.74803149606299213" right="0.74803149606299213" top="0.98425196850393704" bottom="0.98425196850393704" header="0.51181102362204722" footer="0.51181102362204722"/>
  <pageSetup paperSize="9" scale="70" orientation="landscape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79998168889431442"/>
  </sheetPr>
  <dimension ref="C3:K24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min="1" max="1" width="3" customWidth="1"/>
    <col min="2" max="2" width="2.83203125" customWidth="1"/>
    <col min="3" max="3" width="32.5" bestFit="1" customWidth="1"/>
    <col min="4" max="4" width="9.6640625" customWidth="1"/>
    <col min="5" max="5" width="9.33203125" customWidth="1"/>
    <col min="6" max="6" width="18.5" bestFit="1" customWidth="1"/>
    <col min="8" max="9" width="9.1640625" customWidth="1"/>
    <col min="12" max="12" width="2.83203125" customWidth="1"/>
  </cols>
  <sheetData>
    <row r="3" spans="3:11" ht="20">
      <c r="C3" s="142" t="s">
        <v>17</v>
      </c>
      <c r="D3" s="143"/>
      <c r="E3" s="143"/>
      <c r="F3" s="143"/>
      <c r="G3" s="143"/>
      <c r="H3" s="143"/>
      <c r="I3" s="143"/>
      <c r="J3" s="143"/>
      <c r="K3" s="143"/>
    </row>
    <row r="4" spans="3:11" ht="4.5" customHeight="1"/>
    <row r="5" spans="3:11">
      <c r="C5" s="46" t="s">
        <v>18</v>
      </c>
      <c r="D5" s="46"/>
      <c r="E5" s="46"/>
      <c r="F5" s="46"/>
      <c r="G5" s="46"/>
      <c r="H5" s="46"/>
      <c r="I5" s="46"/>
      <c r="J5" s="46"/>
      <c r="K5" s="46"/>
    </row>
    <row r="6" spans="3:11" ht="12.75" customHeight="1"/>
    <row r="7" spans="3:11">
      <c r="C7" t="s">
        <v>144</v>
      </c>
      <c r="D7" s="319">
        <v>1</v>
      </c>
    </row>
    <row r="9" spans="3:11">
      <c r="C9" s="46" t="s">
        <v>30</v>
      </c>
      <c r="D9" s="46"/>
      <c r="E9" s="46"/>
      <c r="F9" s="46"/>
      <c r="G9" s="46"/>
      <c r="H9" s="46"/>
      <c r="I9" s="46"/>
      <c r="J9" s="46"/>
      <c r="K9" s="46"/>
    </row>
    <row r="11" spans="3:11">
      <c r="C11" t="s">
        <v>74</v>
      </c>
      <c r="D11" s="120">
        <v>45746</v>
      </c>
    </row>
    <row r="12" spans="3:11">
      <c r="C12" t="s">
        <v>9</v>
      </c>
      <c r="D12" s="120">
        <v>46112</v>
      </c>
    </row>
    <row r="14" spans="3:11">
      <c r="C14" s="47" t="s">
        <v>22</v>
      </c>
      <c r="D14" s="47"/>
      <c r="E14" s="47"/>
      <c r="F14" s="46"/>
      <c r="G14" s="46"/>
      <c r="H14" s="46"/>
      <c r="I14" s="46"/>
      <c r="J14" s="46"/>
      <c r="K14" s="46"/>
    </row>
    <row r="15" spans="3:11">
      <c r="C15" s="5"/>
      <c r="D15" s="5"/>
      <c r="E15" s="2"/>
    </row>
    <row r="16" spans="3:11">
      <c r="C16" s="5" t="s">
        <v>133</v>
      </c>
      <c r="D16" s="320">
        <v>165</v>
      </c>
      <c r="E16" s="23" t="s">
        <v>14</v>
      </c>
    </row>
    <row r="17" spans="3:7">
      <c r="C17" s="40" t="s">
        <v>66</v>
      </c>
      <c r="D17" s="320">
        <v>199</v>
      </c>
    </row>
    <row r="18" spans="3:7">
      <c r="C18" s="5" t="s">
        <v>134</v>
      </c>
      <c r="D18" s="80">
        <f>(D16*D17)/100</f>
        <v>328.35</v>
      </c>
      <c r="E18" s="2"/>
    </row>
    <row r="19" spans="3:7">
      <c r="C19" s="5" t="s">
        <v>135</v>
      </c>
      <c r="D19" s="313">
        <v>0</v>
      </c>
      <c r="E19" s="2"/>
      <c r="G19" s="45"/>
    </row>
    <row r="20" spans="3:7">
      <c r="C20" s="5" t="s">
        <v>136</v>
      </c>
      <c r="D20" s="121">
        <v>0</v>
      </c>
      <c r="E20" s="2"/>
    </row>
    <row r="21" spans="3:7">
      <c r="C21" s="5" t="s">
        <v>137</v>
      </c>
      <c r="D21" s="121">
        <v>0</v>
      </c>
      <c r="E21" s="2"/>
    </row>
    <row r="22" spans="3:7">
      <c r="C22" s="5" t="s">
        <v>138</v>
      </c>
      <c r="D22" s="121">
        <v>0</v>
      </c>
      <c r="E22" s="32"/>
    </row>
    <row r="23" spans="3:7">
      <c r="C23" s="5"/>
      <c r="D23" s="12"/>
      <c r="E23" s="5"/>
    </row>
    <row r="24" spans="3:7">
      <c r="C24" s="136" t="s">
        <v>164</v>
      </c>
      <c r="D24" s="135">
        <f>D18+D19+D20+D21+D22</f>
        <v>412.96681353958502</v>
      </c>
      <c r="E24" s="5"/>
      <c r="F24" s="125"/>
      <c r="G24" s="125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>
        <v>0.038</v>
      </c>
      <c r="E29" t="inlineStr">
        <is>
          <t>p_da_pct</t>
        </is>
      </c>
    </row>
    <row r="30">
      <c r="C30" t="inlineStr">
        <is>
          <t>Capex / revenue</t>
        </is>
      </c>
      <c r="D30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>
        <v>0.015</v>
      </c>
      <c r="E31" t="inlineStr">
        <is>
          <t>p_wc_pct</t>
        </is>
      </c>
    </row>
    <row r="32">
      <c r="C32" t="inlineStr">
        <is>
          <t>Effective tax rate</t>
        </is>
      </c>
      <c r="D32">
        <v>0.19</v>
      </c>
      <c r="E32" t="inlineStr">
        <is>
          <t>p_tax_rate</t>
        </is>
      </c>
    </row>
    <row r="33">
      <c r="C33" t="inlineStr">
        <is>
          <t>WACC</t>
        </is>
      </c>
      <c r="D33">
        <v>0.080311576067399</v>
      </c>
      <c r="E33" t="inlineStr">
        <is>
          <t>p_wacc</t>
        </is>
      </c>
    </row>
    <row r="34">
      <c r="C34" t="inlineStr">
        <is>
          <t>Perpetuity growth rate</t>
        </is>
      </c>
      <c r="D34">
        <v>0.025</v>
      </c>
      <c r="E34" t="inlineStr">
        <is>
          <t>p_perp_g</t>
        </is>
      </c>
    </row>
    <row r="35">
      <c r="C35" t="inlineStr">
        <is>
          <t>Exit EBITDA multiple (peer median)</t>
        </is>
      </c>
      <c r="D35">
        <f>D43</f>
      </c>
      <c r="E35" t="inlineStr">
        <is>
          <t>p_exit_multiple</t>
        </is>
      </c>
    </row>
    <row r="37">
      <c r="C37" t="inlineStr">
        <is>
          <t>Comparable trading multiples</t>
        </is>
      </c>
      <c r="D37" t="inlineStr">
        <is>
          <t>EV/EBITDA</t>
        </is>
      </c>
    </row>
    <row r="38">
      <c r="C38" t="inlineStr">
        <is>
          <t>Endeavour Group</t>
        </is>
      </c>
      <c r="D38">
        <v>7.64</v>
      </c>
    </row>
    <row r="39">
      <c r="C39" t="inlineStr">
        <is>
          <t>Coca-Cola Europacific</t>
        </is>
      </c>
      <c r="D39">
        <v>13.28</v>
      </c>
    </row>
    <row r="40">
      <c r="C40" t="inlineStr">
        <is>
          <t>Compass Group</t>
        </is>
      </c>
      <c r="D40">
        <v>14.15</v>
      </c>
    </row>
    <row r="41">
      <c r="C41" t="inlineStr">
        <is>
          <t>Aramark</t>
        </is>
      </c>
      <c r="D41">
        <v>12.96</v>
      </c>
    </row>
    <row r="42">
      <c r="C42" t="inlineStr">
        <is>
          <t>Aristocrat Leisure</t>
        </is>
      </c>
      <c r="D42">
        <v>13.37</v>
      </c>
    </row>
    <row r="43">
      <c r="C43" t="inlineStr">
        <is>
          <t>Median EV/EBITDA</t>
        </is>
      </c>
      <c r="D43">
        <f>MEDIAN(D38:D42)</f>
      </c>
    </row>
  </sheetData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min="1" max="1" width="30.6640625" customWidth="1"/>
    <col min="2" max="2" width="9.83203125" customWidth="1"/>
    <col min="3" max="6" width="9.5" bestFit="1" customWidth="1"/>
  </cols>
  <sheetData>
    <row r="1" spans="1:12" ht="21">
      <c r="A1" s="293" t="s">
        <v>167</v>
      </c>
    </row>
    <row r="2" spans="1:12" ht="21">
      <c r="A2" s="293"/>
    </row>
    <row r="3" spans="1:12">
      <c r="B3" s="360" t="s">
        <v>145</v>
      </c>
      <c r="C3" s="360"/>
      <c r="D3" s="360"/>
      <c r="E3" s="360"/>
      <c r="F3" s="360"/>
      <c r="G3" t="inlineStr">
        <is>
          <t>Forecast (assumption-driven, FY26+) →</t>
        </is>
      </c>
    </row>
    <row r="4" spans="1:12" ht="15">
      <c r="B4" s="294" t="s">
        <v>97</v>
      </c>
      <c r="C4" s="294" t="s">
        <v>98</v>
      </c>
      <c r="D4" s="294" t="s">
        <v>99</v>
      </c>
      <c r="E4" s="294" t="s">
        <v>100</v>
      </c>
      <c r="F4" s="294" t="s">
        <v>168</v>
      </c>
      <c r="G4" t="inlineStr">
        <is>
          <t>FY26</t>
        </is>
      </c>
      <c r="H4" t="inlineStr">
        <is>
          <t>FY27</t>
        </is>
      </c>
      <c r="I4" t="inlineStr">
        <is>
          <t>FY28</t>
        </is>
      </c>
      <c r="J4" t="inlineStr">
        <is>
          <t>FY29</t>
        </is>
      </c>
      <c r="K4" t="inlineStr">
        <is>
          <t>FY30</t>
        </is>
      </c>
      <c r="L4" t="inlineStr">
        <is>
          <t>FY31</t>
        </is>
      </c>
    </row>
    <row r="5" spans="1:12" ht="15">
      <c r="A5" t="s">
        <v>2</v>
      </c>
      <c r="B5" s="304">
        <v>1149.2312142121568</v>
      </c>
      <c r="C5" s="304">
        <v>1255.6304578332745</v>
      </c>
      <c r="D5" s="304">
        <v>1353.8373857301615</v>
      </c>
      <c r="E5" s="304">
        <v>1446.9754795854417</v>
      </c>
      <c r="F5" s="304">
        <v>1442.6203434361955</v>
      </c>
      <c r="G5">
        <f>F5*(1+Assumptions!$D$27)</f>
      </c>
      <c r="H5">
        <f>G5*(1+Assumptions!$D$27)</f>
      </c>
      <c r="I5">
        <f>H5*(1+Assumptions!$D$27)</f>
      </c>
      <c r="J5">
        <f>I5*(1+Assumptions!$D$27)</f>
      </c>
      <c r="K5">
        <f>J5*(1+Assumptions!$D$27)</f>
      </c>
      <c r="L5" s="318">
        <f>K5*(1+Assumptions!$D$27)</f>
      </c>
    </row>
    <row r="6" spans="1:12" ht="15">
      <c r="A6" t="s">
        <v>101</v>
      </c>
      <c r="B6" s="295"/>
      <c r="C6" s="296">
        <f>C5/B5-1</f>
        <v>9.2582973996280238E-2</v>
      </c>
      <c r="D6" s="296">
        <f t="shared" ref="D6:F6" si="0">D5/C5-1</f>
        <v>7.8213241232100827E-2</v>
      </c>
      <c r="E6" s="296">
        <f t="shared" si="0"/>
        <v>6.879562851268739E-2</v>
      </c>
      <c r="F6" s="296">
        <f t="shared" si="0"/>
        <v>-3.0098202842344657E-3</v>
      </c>
      <c r="G6">
        <f>G5/F5-1</f>
      </c>
      <c r="H6">
        <f>H5/G5-1</f>
      </c>
      <c r="I6">
        <f>I5/H5-1</f>
      </c>
      <c r="J6">
        <f>J5/I5-1</f>
      </c>
      <c r="K6">
        <f>K5/J5-1</f>
      </c>
      <c r="L6">
        <f>L5/K5-1</f>
      </c>
    </row>
    <row r="7" spans="1:12" ht="15">
      <c r="A7" t="s">
        <v>143</v>
      </c>
      <c r="B7" s="304">
        <v>583.04965087049129</v>
      </c>
      <c r="C7" s="304">
        <v>634.42290081513784</v>
      </c>
      <c r="D7" s="304">
        <v>689.15767217994426</v>
      </c>
      <c r="E7" s="304">
        <v>736.80093729452119</v>
      </c>
      <c r="F7" s="304">
        <v>753.12425648235262</v>
      </c>
      <c r="G7">
        <f>G5*$F$8</f>
      </c>
      <c r="H7">
        <f>H5*$F$8</f>
      </c>
      <c r="I7">
        <f>I5*$F$8</f>
      </c>
      <c r="J7">
        <f>J5*$F$8</f>
      </c>
      <c r="K7">
        <f>K5*$F$8</f>
      </c>
      <c r="L7">
        <f>L5*$F$8</f>
      </c>
    </row>
    <row r="8" spans="1:12" ht="15">
      <c r="A8" s="297" t="s">
        <v>102</v>
      </c>
      <c r="B8" s="296">
        <f>B7/B5</f>
        <v>0.50733885719436778</v>
      </c>
      <c r="C8" s="296">
        <f t="shared" ref="C8:F8" si="1">C7/C5</f>
        <v>0.50526243359045531</v>
      </c>
      <c r="D8" s="296">
        <f t="shared" si="1"/>
        <v>0.50904021372423747</v>
      </c>
      <c r="E8" s="296">
        <f t="shared" si="1"/>
        <v>0.5092007070538711</v>
      </c>
      <c r="F8" s="296">
        <f t="shared" si="1"/>
        <v>0.52205298497903929</v>
      </c>
      <c r="G8">
        <f>G7/G5</f>
      </c>
      <c r="H8">
        <f>H7/H5</f>
      </c>
      <c r="I8">
        <f>I7/I5</f>
      </c>
      <c r="J8">
        <f>J7/J5</f>
      </c>
      <c r="K8">
        <f>K7/K5</f>
      </c>
      <c r="L8">
        <f>L7/L5</f>
      </c>
    </row>
    <row r="9" spans="1:12" ht="15">
      <c r="A9" t="s">
        <v>103</v>
      </c>
      <c r="B9" s="304">
        <v>-522.72817715549786</v>
      </c>
      <c r="C9" s="304">
        <v>-580.01288924996788</v>
      </c>
      <c r="D9" s="304">
        <v>-622.42079355856106</v>
      </c>
      <c r="E9" s="304">
        <v>-662.10013986288277</v>
      </c>
      <c r="F9" s="304">
        <v>-678.11530593625469</v>
      </c>
      <c r="G9">
        <f>G10-G7</f>
      </c>
      <c r="H9">
        <f>H10-H7</f>
      </c>
      <c r="I9">
        <f>I10-I7</f>
      </c>
      <c r="J9">
        <f>J10-J7</f>
      </c>
      <c r="K9">
        <f>K10-K7</f>
      </c>
      <c r="L9">
        <f>L10-L7</f>
      </c>
    </row>
    <row r="10" spans="1:12" ht="15">
      <c r="A10" s="298" t="s">
        <v>104</v>
      </c>
      <c r="B10" s="305">
        <f>SUM(B9,B7)</f>
        <v>60.321473714993431</v>
      </c>
      <c r="C10" s="305">
        <f t="shared" ref="C10:F10" si="2">SUM(C9,C7)</f>
        <v>54.410011565169953</v>
      </c>
      <c r="D10" s="305">
        <f t="shared" si="2"/>
        <v>66.736878621383198</v>
      </c>
      <c r="E10" s="305">
        <f t="shared" si="2"/>
        <v>74.700797431638421</v>
      </c>
      <c r="F10" s="305">
        <f t="shared" si="2"/>
        <v>75.008950546097935</v>
      </c>
      <c r="G10">
        <f>G16-G15</f>
      </c>
      <c r="H10">
        <f>H16-H15</f>
      </c>
      <c r="I10">
        <f>I16-I15</f>
      </c>
      <c r="J10">
        <f>J16-J15</f>
      </c>
      <c r="K10">
        <f>K16-K15</f>
      </c>
      <c r="L10">
        <f>L16-L15</f>
      </c>
    </row>
    <row r="11" spans="1:12" ht="15">
      <c r="A11" s="297" t="s">
        <v>105</v>
      </c>
      <c r="B11" s="296">
        <f>B10/B5</f>
        <v>5.2488544488713852E-2</v>
      </c>
      <c r="C11" s="296">
        <f t="shared" ref="C11:F11" si="3">C10/C5</f>
        <v>4.3332822348910109E-2</v>
      </c>
      <c r="D11" s="296">
        <f t="shared" si="3"/>
        <v>4.9294604599347931E-2</v>
      </c>
      <c r="E11" s="296">
        <f t="shared" si="3"/>
        <v>5.162547568051408E-2</v>
      </c>
      <c r="F11" s="296">
        <f t="shared" si="3"/>
        <v>5.1994934694621853E-2</v>
      </c>
      <c r="G11">
        <f>G10/G5</f>
      </c>
      <c r="H11">
        <f>H10/H5</f>
      </c>
      <c r="I11">
        <f>I10/I5</f>
      </c>
      <c r="J11">
        <f>J10/J5</f>
      </c>
      <c r="K11">
        <f>K10/K5</f>
      </c>
      <c r="L11">
        <f>L10/L5</f>
      </c>
    </row>
    <row r="12" spans="1:12" ht="15">
      <c r="A12" t="s">
        <v>106</v>
      </c>
      <c r="B12" s="304">
        <v>0</v>
      </c>
      <c r="C12" s="304">
        <v>0</v>
      </c>
      <c r="D12" s="304">
        <v>0</v>
      </c>
      <c r="E12" s="304">
        <v>0</v>
      </c>
      <c r="F12" s="304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 ht="15">
      <c r="A13" s="298" t="s">
        <v>107</v>
      </c>
      <c r="B13" s="305">
        <f>B16-B15</f>
      </c>
      <c r="C13" s="305">
        <f>C16-C15</f>
      </c>
      <c r="D13" s="305">
        <f>D16-D15</f>
      </c>
      <c r="E13" s="305">
        <f>E16-E15</f>
      </c>
      <c r="F13" s="305">
        <f>F16-F15</f>
      </c>
      <c r="G13">
        <f>G16-G15</f>
      </c>
      <c r="H13">
        <f>H16-H15</f>
      </c>
      <c r="I13">
        <f>I16-I15</f>
      </c>
      <c r="J13">
        <f>J16-J15</f>
      </c>
      <c r="K13">
        <f>K16-K15</f>
      </c>
      <c r="L13">
        <f>L16-L15</f>
      </c>
    </row>
    <row r="14" spans="1:12" ht="15">
      <c r="B14" s="295"/>
      <c r="C14" s="295"/>
      <c r="D14" s="295"/>
      <c r="E14" s="295"/>
      <c r="F14" s="295"/>
      <c r="G14" s="152"/>
    </row>
    <row r="15" spans="1:12" ht="15">
      <c r="A15" t="s">
        <v>108</v>
      </c>
      <c r="B15" s="304"/>
      <c r="C15" s="304">
        <v>-18.004468664734777</v>
      </c>
      <c r="D15" s="304">
        <v>-6.7527180429793674</v>
      </c>
      <c r="E15" s="304">
        <v>1.1384540263188825</v>
      </c>
      <c r="F15" s="304">
        <v>-4.8650405710493061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ht="15">
      <c r="A16" s="298" t="s">
        <v>109</v>
      </c>
      <c r="B16" s="305">
        <f>B20-B18-B19</f>
      </c>
      <c r="C16" s="305">
        <f>C20-C18-C19</f>
      </c>
      <c r="D16" s="305">
        <f>D20-D18-D19</f>
      </c>
      <c r="E16" s="305">
        <f>E20-E18-E19</f>
      </c>
      <c r="F16" s="305">
        <f>F20-F18-F19</f>
      </c>
      <c r="G16">
        <f>G20-G18-G19</f>
      </c>
      <c r="H16">
        <f>H20-H18-H19</f>
      </c>
      <c r="I16">
        <f>I20-I18-I19</f>
      </c>
      <c r="J16">
        <f>J20-J18-J19</f>
      </c>
      <c r="K16">
        <f>K20-K18-K19</f>
      </c>
      <c r="L16">
        <f>L20-L18-L19</f>
      </c>
    </row>
    <row r="17" spans="1:6" ht="15">
      <c r="A17" s="299" t="s">
        <v>110</v>
      </c>
      <c r="B17" s="304">
        <v>0</v>
      </c>
      <c r="C17" s="304">
        <v>0</v>
      </c>
      <c r="D17" s="304">
        <v>0</v>
      </c>
      <c r="E17" s="304">
        <v>0</v>
      </c>
      <c r="F17" s="304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6" ht="15">
      <c r="A18" s="299" t="s">
        <v>111</v>
      </c>
      <c r="B18" s="304">
        <v>2.1</v>
      </c>
      <c r="C18" s="304">
        <v>2.0132666666666665</v>
      </c>
      <c r="D18" s="304">
        <v>1.9086666666666665</v>
      </c>
      <c r="E18" s="304">
        <v>1.9086666666666665</v>
      </c>
      <c r="F18" s="304">
        <v>1.9086666666666665</v>
      </c>
      <c r="G18">
        <f>$F$18</f>
      </c>
      <c r="H18">
        <f>$F$18</f>
      </c>
      <c r="I18">
        <f>$F$18</f>
      </c>
      <c r="J18">
        <f>$F$18</f>
      </c>
      <c r="K18">
        <f>$F$18</f>
      </c>
      <c r="L18">
        <f>$F$18</f>
      </c>
    </row>
    <row r="19" spans="1:6" ht="15">
      <c r="A19" s="299" t="s">
        <v>112</v>
      </c>
      <c r="B19" s="304">
        <v>34.029215400000027</v>
      </c>
      <c r="C19" s="304">
        <v>38.442026856682347</v>
      </c>
      <c r="D19" s="304">
        <v>45.286590949142067</v>
      </c>
      <c r="E19" s="304">
        <v>49.920876920897499</v>
      </c>
      <c r="F19" s="304">
        <v>52.891245475492525</v>
      </c>
      <c r="G19">
        <f>G5*Assumptions!$D$29-G18</f>
      </c>
      <c r="H19">
        <f>H5*Assumptions!$D$29-H18</f>
      </c>
      <c r="I19">
        <f>I5*Assumptions!$D$29-I18</f>
      </c>
      <c r="J19">
        <f>J5*Assumptions!$D$29-J18</f>
      </c>
      <c r="K19">
        <f>K5*Assumptions!$D$29-K18</f>
      </c>
      <c r="L19">
        <f>L5*Assumptions!$D$29-L18</f>
      </c>
    </row>
    <row r="20" spans="1:6" ht="15">
      <c r="A20" s="298" t="s">
        <v>113</v>
      </c>
      <c r="B20" s="305">
        <v>94.15</v>
      </c>
      <c r="C20" s="305">
        <v>74.62</v>
      </c>
      <c r="D20" s="305">
        <v>105.04</v>
      </c>
      <c r="E20" s="305">
        <v>125.53</v>
      </c>
      <c r="F20" s="305">
        <v>122.7</v>
      </c>
      <c r="G20">
        <f>G5*Assumptions!$D$28</f>
      </c>
      <c r="H20">
        <f>H5*Assumptions!$D$28</f>
      </c>
      <c r="I20">
        <f>I5*Assumptions!$D$28</f>
      </c>
      <c r="J20">
        <f>J5*Assumptions!$D$28</f>
      </c>
      <c r="K20">
        <f>K5*Assumptions!$D$28</f>
      </c>
      <c r="L20">
        <f>L5*Assumptions!$D$28</f>
      </c>
    </row>
    <row r="21" spans="1:6" ht="15">
      <c r="B21" s="304"/>
      <c r="C21" s="304"/>
      <c r="D21" s="295"/>
      <c r="E21" s="295"/>
      <c r="F21" s="295"/>
    </row>
    <row r="22" spans="1:6" ht="15">
      <c r="A22" t="s">
        <v>114</v>
      </c>
      <c r="B22" s="304">
        <v>0</v>
      </c>
      <c r="C22" s="304">
        <v>0</v>
      </c>
      <c r="D22" s="304">
        <v>0</v>
      </c>
      <c r="E22" s="304">
        <v>24</v>
      </c>
      <c r="F22" s="304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6" ht="15">
      <c r="A23" t="s">
        <v>7</v>
      </c>
      <c r="B23" s="304">
        <v>-36</v>
      </c>
      <c r="C23" s="304">
        <v>-51</v>
      </c>
      <c r="D23" s="304">
        <v>-50</v>
      </c>
      <c r="E23" s="304">
        <v>-50</v>
      </c>
      <c r="F23" s="304">
        <v>-50</v>
      </c>
      <c r="G23">
        <f>-G5*Assumptions!$D$30</f>
      </c>
      <c r="H23">
        <f>-H5*Assumptions!$D$30</f>
      </c>
      <c r="I23">
        <f>-I5*Assumptions!$D$30</f>
      </c>
      <c r="J23">
        <f>-J5*Assumptions!$D$30</f>
      </c>
      <c r="K23">
        <f>-K5*Assumptions!$D$30</f>
      </c>
      <c r="L23">
        <f>-L5*Assumptions!$D$30</f>
      </c>
    </row>
    <row r="24" spans="1:6" ht="15">
      <c r="A24" t="s">
        <v>115</v>
      </c>
      <c r="B24" s="304">
        <v>-9.1999999999999993</v>
      </c>
      <c r="C24" s="304">
        <v>-9.1999999999999993</v>
      </c>
      <c r="D24" s="304">
        <v>0</v>
      </c>
      <c r="E24" s="304">
        <v>0</v>
      </c>
      <c r="F24" s="30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6" ht="15">
      <c r="A25" t="s">
        <v>10</v>
      </c>
      <c r="B25" s="304">
        <v>-18.06402320252365</v>
      </c>
      <c r="C25" s="304">
        <v>-8.693414081730614</v>
      </c>
      <c r="D25" s="304">
        <v>-10.93107815184899</v>
      </c>
      <c r="E25" s="304">
        <v>-12.364583537694871</v>
      </c>
      <c r="F25" s="304">
        <v>-12.420051098297566</v>
      </c>
      <c r="G25">
        <f>-G16*Assumptions!$D$32</f>
      </c>
      <c r="H25">
        <f>-H16*Assumptions!$D$32</f>
      </c>
      <c r="I25">
        <f>-I16*Assumptions!$D$32</f>
      </c>
      <c r="J25">
        <f>-J16*Assumptions!$D$32</f>
      </c>
      <c r="K25">
        <f>-K16*Assumptions!$D$32</f>
      </c>
      <c r="L25">
        <f>-L16*Assumptions!$D$32</f>
      </c>
    </row>
    <row r="26" spans="1:6" ht="15">
      <c r="A26" t="s">
        <v>116</v>
      </c>
      <c r="B26" s="304">
        <v>0</v>
      </c>
      <c r="C26" s="304">
        <v>0</v>
      </c>
      <c r="D26" s="304">
        <v>0</v>
      </c>
      <c r="E26" s="304">
        <v>0</v>
      </c>
      <c r="F26" s="304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6" ht="15">
      <c r="A27" t="s">
        <v>117</v>
      </c>
      <c r="B27" s="304">
        <v>6</v>
      </c>
      <c r="C27" s="304">
        <v>16.111954440903407</v>
      </c>
      <c r="D27" s="304">
        <v>15.168892666804709</v>
      </c>
      <c r="E27" s="304">
        <v>11.110216900668604</v>
      </c>
      <c r="F27" s="304">
        <v>3.9548595532390358</v>
      </c>
      <c r="G27">
        <f>-G5*Assumptions!$D$31</f>
      </c>
      <c r="H27">
        <f>-H5*Assumptions!$D$31</f>
      </c>
      <c r="I27">
        <f>-I5*Assumptions!$D$31</f>
      </c>
      <c r="J27">
        <f>-J5*Assumptions!$D$31</f>
      </c>
      <c r="K27">
        <f>-K5*Assumptions!$D$31</f>
      </c>
      <c r="L27">
        <f>-L5*Assumptions!$D$31</f>
      </c>
    </row>
    <row r="28" spans="1:6" ht="15">
      <c r="A28" t="s">
        <v>118</v>
      </c>
      <c r="B28" s="304">
        <v>-36.599999999999994</v>
      </c>
      <c r="C28" s="304">
        <v>-24</v>
      </c>
      <c r="D28" s="304">
        <v>-24</v>
      </c>
      <c r="E28" s="304">
        <v>-24</v>
      </c>
      <c r="F28" s="304">
        <v>-24</v>
      </c>
      <c r="G28">
        <f>$F$28</f>
      </c>
      <c r="H28">
        <f>$F$28</f>
      </c>
      <c r="I28">
        <f>$F$28</f>
      </c>
      <c r="J28">
        <f>$F$28</f>
      </c>
      <c r="K28">
        <f>$F$28</f>
      </c>
      <c r="L28">
        <f>$F$28</f>
      </c>
    </row>
    <row r="29" spans="1:6" ht="15">
      <c r="A29" t="s">
        <v>119</v>
      </c>
      <c r="B29" s="304">
        <v>0</v>
      </c>
      <c r="C29" s="304"/>
      <c r="D29" s="304">
        <v>-5</v>
      </c>
      <c r="E29" s="304">
        <v>-5</v>
      </c>
      <c r="F29" s="304">
        <v>-5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6" ht="15">
      <c r="B30" s="295"/>
      <c r="C30" s="295"/>
      <c r="D30" s="295"/>
      <c r="E30" s="295"/>
      <c r="F30" s="295"/>
    </row>
    <row r="31" spans="1:6" ht="15">
      <c r="A31" t="s">
        <v>120</v>
      </c>
      <c r="B31" s="305">
        <f>SUM(B20:B30)</f>
        <v>-2.8168135395849845</v>
      </c>
      <c r="C31" s="305">
        <f t="shared" ref="C31:F31" si="6">SUM(C20:C30)</f>
        <v>-6.2606232170430225</v>
      </c>
      <c r="D31" s="305">
        <f t="shared" si="6"/>
        <v>26.181832709168283</v>
      </c>
      <c r="E31" s="305">
        <f t="shared" si="6"/>
        <v>65.179028408495185</v>
      </c>
      <c r="F31" s="305">
        <f t="shared" si="6"/>
        <v>31.137897238815953</v>
      </c>
      <c r="G31">
        <f>SUM(G20:G30)</f>
      </c>
      <c r="H31">
        <f>SUM(H20:H30)</f>
      </c>
      <c r="I31">
        <f>SUM(I20:I30)</f>
      </c>
      <c r="J31">
        <f>SUM(J20:J30)</f>
      </c>
      <c r="K31">
        <f>SUM(K20:K30)</f>
      </c>
      <c r="L31">
        <f>SUM(L20:L30)</f>
      </c>
    </row>
    <row r="32" spans="1:6" ht="15">
      <c r="A32" s="300" t="s">
        <v>121</v>
      </c>
      <c r="B32" s="305">
        <f>B31-B28-B24</f>
        <v>42.983186460415013</v>
      </c>
      <c r="C32" s="305">
        <f t="shared" ref="C32:F32" si="7">C31-C28-C24</f>
        <v>26.939376782956977</v>
      </c>
      <c r="D32" s="305">
        <f t="shared" si="7"/>
        <v>50.181832709168283</v>
      </c>
      <c r="E32" s="305">
        <f t="shared" si="7"/>
        <v>89.179028408495185</v>
      </c>
      <c r="F32" s="305">
        <f t="shared" si="7"/>
        <v>55.137897238815953</v>
      </c>
      <c r="G32">
        <f>G31-G28-G24</f>
      </c>
      <c r="H32">
        <f>H31-H28-H24</f>
      </c>
      <c r="I32">
        <f>I31-I28-I24</f>
      </c>
      <c r="J32">
        <f>J31-J28-J24</f>
      </c>
      <c r="K32">
        <f>K31-K28-K24</f>
      </c>
      <c r="L32">
        <f>L31-L28-L24</f>
      </c>
    </row>
    <row r="33" spans="1:6" ht="15">
      <c r="B33" s="295"/>
      <c r="C33" s="295"/>
      <c r="D33" s="295"/>
      <c r="E33" s="295"/>
      <c r="F33" s="295"/>
    </row>
    <row r="34" spans="1:6" ht="15">
      <c r="A34" t="s">
        <v>122</v>
      </c>
      <c r="B34" s="304">
        <v>0</v>
      </c>
      <c r="C34" s="304">
        <v>0</v>
      </c>
      <c r="D34" s="304">
        <v>0</v>
      </c>
      <c r="E34" s="304">
        <v>0</v>
      </c>
      <c r="F34" s="30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6" ht="15">
      <c r="A35" t="s">
        <v>123</v>
      </c>
      <c r="B35" s="304">
        <v>0</v>
      </c>
      <c r="C35" s="304">
        <v>0</v>
      </c>
      <c r="D35" s="304">
        <v>0</v>
      </c>
      <c r="E35" s="304">
        <v>0</v>
      </c>
      <c r="F35" s="304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6" ht="15">
      <c r="A36" s="298" t="s">
        <v>124</v>
      </c>
      <c r="B36" s="306">
        <v>0</v>
      </c>
      <c r="C36" s="306">
        <v>0</v>
      </c>
      <c r="D36" s="306">
        <v>0</v>
      </c>
      <c r="E36" s="306">
        <v>0</v>
      </c>
      <c r="F36" s="30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6" ht="15">
      <c r="B37" s="295"/>
      <c r="C37" s="295"/>
      <c r="D37" s="295"/>
      <c r="E37" s="295"/>
      <c r="F37" s="295"/>
    </row>
    <row r="38" spans="1:6" ht="15">
      <c r="B38" s="304"/>
      <c r="C38" s="304"/>
      <c r="D38" s="304"/>
      <c r="E38" s="304"/>
      <c r="F38" s="304"/>
    </row>
    <row r="39" spans="1:6" ht="15">
      <c r="B39" s="304"/>
      <c r="C39" s="304"/>
      <c r="D39" s="304"/>
      <c r="E39" s="304"/>
      <c r="F39" s="304"/>
    </row>
    <row r="40" spans="1:6" ht="15">
      <c r="B40" s="304"/>
      <c r="C40" s="304"/>
      <c r="D40" s="304"/>
      <c r="E40" s="304"/>
      <c r="F40" s="304"/>
    </row>
    <row r="41" spans="1:6" ht="15">
      <c r="B41" s="304"/>
      <c r="C41" s="304"/>
      <c r="D41" s="304"/>
      <c r="E41" s="304"/>
      <c r="F41" s="304"/>
    </row>
    <row r="42" spans="1:6" ht="15">
      <c r="B42" s="304"/>
      <c r="C42" s="304"/>
      <c r="D42" s="304"/>
      <c r="E42" s="304"/>
      <c r="F42" s="304"/>
    </row>
    <row r="43" spans="1:6" ht="15">
      <c r="B43" s="304"/>
      <c r="C43" s="304"/>
      <c r="D43" s="304"/>
      <c r="E43" s="304"/>
      <c r="F43" s="304"/>
    </row>
    <row r="44" spans="1:6" ht="15">
      <c r="B44" s="304"/>
      <c r="C44" s="304"/>
      <c r="D44" s="304"/>
      <c r="E44" s="304"/>
      <c r="F44" s="304"/>
    </row>
    <row r="45" spans="1:6" ht="15">
      <c r="B45" s="304"/>
      <c r="C45" s="304"/>
      <c r="D45" s="304"/>
      <c r="E45" s="304"/>
      <c r="F45" s="304"/>
    </row>
    <row r="46" spans="1:6" ht="15">
      <c r="B46" s="304"/>
      <c r="C46" s="304"/>
      <c r="D46" s="304"/>
      <c r="E46" s="304"/>
      <c r="F46" s="304"/>
    </row>
    <row r="47" spans="1:6" ht="15">
      <c r="B47" s="304"/>
      <c r="C47" s="304"/>
      <c r="D47" s="304"/>
      <c r="E47" s="304"/>
      <c r="F47" s="304"/>
    </row>
    <row r="48" spans="1:6" ht="15">
      <c r="B48" s="304"/>
      <c r="C48" s="304"/>
      <c r="D48" s="304"/>
      <c r="E48" s="304"/>
      <c r="F48" s="304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59999389629810485"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min="1" max="1" width="3" style="7" customWidth="1"/>
    <col min="2" max="2" width="2.83203125" style="7" customWidth="1"/>
    <col min="3" max="3" width="27.6640625" style="7" customWidth="1"/>
    <col min="4" max="5" width="3.5" style="7" customWidth="1"/>
    <col min="6" max="22" width="12.6640625" style="7" customWidth="1"/>
    <col min="23" max="23" width="3.5" style="7" customWidth="1"/>
    <col min="24" max="16384" width="9.1640625" style="7"/>
  </cols>
  <sheetData>
    <row r="2" spans="2:34" ht="12" customHeight="1">
      <c r="B2" s="45"/>
      <c r="E2" s="30"/>
      <c r="O2" s="34"/>
      <c r="R2" s="35"/>
    </row>
    <row r="3" spans="2:34" ht="12" customHeight="1">
      <c r="B3" s="45"/>
      <c r="E3" s="30"/>
      <c r="O3" s="34"/>
      <c r="R3" s="35"/>
    </row>
    <row r="4" spans="2:34" ht="4.5" customHeight="1">
      <c r="B4" s="5"/>
      <c r="C4" s="8"/>
      <c r="D4" s="8"/>
      <c r="E4" s="9"/>
      <c r="F4" s="10"/>
      <c r="G4" s="10"/>
      <c r="H4" s="10"/>
      <c r="I4" s="10"/>
      <c r="J4" s="10"/>
      <c r="K4" s="10"/>
      <c r="L4" s="5"/>
      <c r="M4" s="5"/>
      <c r="N4" s="11"/>
      <c r="O4" s="5"/>
      <c r="P4" s="5"/>
      <c r="Q4" s="5"/>
      <c r="R4" s="5"/>
      <c r="S4" s="5"/>
      <c r="T4" s="5"/>
      <c r="U4" s="5"/>
      <c r="V4" s="5"/>
    </row>
    <row r="5" spans="2:34" ht="12.75" customHeight="1">
      <c r="B5" s="5"/>
      <c r="C5" s="16" t="s">
        <v>16</v>
      </c>
      <c r="D5" s="17"/>
      <c r="E5" s="18"/>
      <c r="F5" s="19"/>
      <c r="G5" s="19"/>
      <c r="H5" s="19"/>
      <c r="I5" s="19"/>
      <c r="J5" s="19"/>
      <c r="K5" s="19"/>
      <c r="L5" s="20"/>
      <c r="M5" s="20"/>
      <c r="N5" s="21"/>
      <c r="O5" s="20"/>
      <c r="P5" s="20"/>
      <c r="Q5" s="20"/>
      <c r="R5" s="20"/>
      <c r="S5" s="20"/>
      <c r="T5" s="20"/>
      <c r="U5" s="20"/>
      <c r="V5" s="22"/>
    </row>
    <row r="6" spans="2:34" ht="4.5" customHeight="1">
      <c r="B6" s="5"/>
      <c r="C6" s="5"/>
      <c r="D6" s="5"/>
      <c r="E6" s="12"/>
      <c r="F6" s="5"/>
      <c r="G6" s="5"/>
      <c r="H6" s="5"/>
      <c r="I6" s="5"/>
      <c r="J6" s="5"/>
      <c r="K6" s="5"/>
      <c r="L6" s="5"/>
      <c r="M6" s="5"/>
      <c r="N6" s="11"/>
      <c r="O6" s="5"/>
      <c r="P6" s="5"/>
      <c r="Q6" s="5"/>
      <c r="R6" s="5"/>
      <c r="S6" s="5"/>
    </row>
    <row r="7" spans="2:34">
      <c r="B7" s="5"/>
      <c r="D7" s="23"/>
      <c r="F7" s="301" t="s">
        <v>76</v>
      </c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2" t="s">
        <v>166</v>
      </c>
      <c r="R7" s="302"/>
      <c r="S7" s="302"/>
      <c r="T7" s="302"/>
      <c r="U7" s="302"/>
      <c r="V7" s="302"/>
    </row>
    <row r="8" spans="2:34" ht="12.75" customHeight="1">
      <c r="B8" s="5"/>
      <c r="D8" s="5"/>
      <c r="E8" s="12"/>
      <c r="F8" s="5"/>
      <c r="G8" s="5"/>
      <c r="H8" s="5"/>
      <c r="I8" s="5"/>
      <c r="J8" s="5"/>
      <c r="K8" s="5"/>
      <c r="L8" s="5"/>
      <c r="M8" s="212"/>
      <c r="N8" s="11"/>
      <c r="O8" s="5"/>
      <c r="P8" s="5"/>
      <c r="Q8" s="5"/>
      <c r="R8" s="5"/>
      <c r="S8" s="5"/>
    </row>
    <row r="9" spans="2:34" ht="12.75" customHeight="1">
      <c r="B9" s="5"/>
      <c r="C9" s="36" t="str">
        <f>TEXT(Assumptions!$D$11,"mmmm")&amp;" YE ($mm)"</f>
        <v>March YE ($mm)</v>
      </c>
      <c r="D9" s="36"/>
      <c r="E9" s="43"/>
      <c r="F9" s="140">
        <v>42094</v>
      </c>
      <c r="G9" s="140">
        <f>+EDATE(F9,12)</f>
        <v>42460</v>
      </c>
      <c r="H9" s="140">
        <f t="shared" ref="H9:V9" si="0">+EDATE(G9,12)</f>
        <v>42825</v>
      </c>
      <c r="I9" s="140">
        <f t="shared" si="0"/>
        <v>43190</v>
      </c>
      <c r="J9" s="140">
        <f t="shared" si="0"/>
        <v>43555</v>
      </c>
      <c r="K9" s="140">
        <f t="shared" si="0"/>
        <v>43921</v>
      </c>
      <c r="L9" s="37">
        <f t="shared" si="0"/>
        <v>44286</v>
      </c>
      <c r="M9" s="37">
        <f t="shared" si="0"/>
        <v>44651</v>
      </c>
      <c r="N9" s="37">
        <f t="shared" si="0"/>
        <v>45016</v>
      </c>
      <c r="O9" s="37">
        <f t="shared" si="0"/>
        <v>45382</v>
      </c>
      <c r="P9" s="37">
        <f t="shared" si="0"/>
        <v>45747</v>
      </c>
      <c r="Q9" s="37">
        <f t="shared" si="0"/>
        <v>46112</v>
      </c>
      <c r="R9" s="37">
        <f t="shared" si="0"/>
        <v>46477</v>
      </c>
      <c r="S9" s="37">
        <f t="shared" si="0"/>
        <v>46843</v>
      </c>
      <c r="T9" s="37">
        <f t="shared" si="0"/>
        <v>47208</v>
      </c>
      <c r="U9" s="37">
        <f t="shared" si="0"/>
        <v>47573</v>
      </c>
      <c r="V9" s="37">
        <f t="shared" si="0"/>
        <v>47938</v>
      </c>
    </row>
    <row r="10" spans="2:34" ht="12.75" customHeight="1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212"/>
      <c r="Q10" s="5"/>
      <c r="R10" s="5"/>
      <c r="S10" s="5"/>
      <c r="U10" s="5"/>
      <c r="V10" s="5"/>
    </row>
    <row r="11" spans="2:34">
      <c r="B11" s="5"/>
      <c r="C11" s="33" t="s">
        <v>23</v>
      </c>
      <c r="D11" s="33"/>
      <c r="E11" s="33"/>
      <c r="F11" s="107">
        <v>939.7</v>
      </c>
      <c r="G11" s="107">
        <v>1004.9</v>
      </c>
      <c r="H11" s="107">
        <v>1021.5</v>
      </c>
      <c r="I11" s="107">
        <v>1095</v>
      </c>
      <c r="J11" s="107">
        <v>1135.0999999999999</v>
      </c>
      <c r="K11" s="107">
        <v>1138.5999999999999</v>
      </c>
      <c r="L11" s="104">
        <v>1149.23</v>
      </c>
      <c r="M11" s="104">
        <v>1255.63</v>
      </c>
      <c r="N11" s="104">
        <v>1353.84</v>
      </c>
      <c r="O11" s="104">
        <v>1446.98</v>
      </c>
      <c r="P11" s="104">
        <v>1442.62</v>
      </c>
      <c r="Q11" s="104">
        <f>P11*(1+Q13)</f>
      </c>
      <c r="R11" s="104">
        <f>Q11*(1+R13)</f>
      </c>
      <c r="S11" s="104">
        <f>R11*(1+S13)</f>
      </c>
      <c r="T11" s="104">
        <f>S11*(1+T13)</f>
      </c>
      <c r="U11" s="104">
        <f>T11*(1+U13)</f>
      </c>
      <c r="V11" s="104">
        <f>U11*(1+V13)</f>
      </c>
    </row>
    <row r="12" spans="2:34" outlineLevel="1">
      <c r="B12" s="5"/>
      <c r="C12" s="109" t="s">
        <v>126</v>
      </c>
      <c r="D12" s="109"/>
      <c r="E12" s="109"/>
      <c r="F12" s="147"/>
      <c r="G12" s="147"/>
      <c r="H12" s="147"/>
      <c r="I12" s="147"/>
      <c r="J12" s="147"/>
      <c r="K12" s="147"/>
      <c r="L12" s="331">
        <v>1149.23</v>
      </c>
      <c r="M12" s="331">
        <v>1255.63</v>
      </c>
      <c r="N12" s="331">
        <v>1353.84</v>
      </c>
      <c r="O12" s="331">
        <v>1446.98</v>
      </c>
      <c r="P12" s="331">
        <v>1442.62</v>
      </c>
      <c r="Q12" s="40">
        <f>Q11</f>
      </c>
      <c r="R12" s="40">
        <f>R11</f>
      </c>
      <c r="S12" s="40">
        <f>S11</f>
      </c>
      <c r="T12" s="40">
        <f>T11</f>
      </c>
      <c r="U12" s="40">
        <f>U11</f>
      </c>
      <c r="V12" s="40">
        <f>V11</f>
      </c>
      <c r="Y12" s="326" t="s">
        <v>154</v>
      </c>
      <c r="Z12" s="326"/>
      <c r="AA12" s="326"/>
      <c r="AB12" s="326"/>
      <c r="AC12" s="326"/>
      <c r="AD12" s="326"/>
      <c r="AE12" s="326"/>
      <c r="AF12" s="326"/>
      <c r="AG12" s="326"/>
      <c r="AH12" s="326"/>
    </row>
    <row r="13" spans="2:34">
      <c r="B13" s="14"/>
      <c r="C13" s="14" t="s">
        <v>77</v>
      </c>
      <c r="D13" s="14"/>
      <c r="E13" s="6"/>
      <c r="L13" s="118">
        <f>IF(ISERROR(L12/K11-1),"n.a.",L12/K11-1)</f>
        <v>-1</v>
      </c>
      <c r="M13" s="118" t="str">
        <f>IF(ISERROR(M12/L12-1),"n.a.",M12/L12-1)</f>
        <v>n.a.</v>
      </c>
      <c r="N13" s="118" t="str">
        <f>IF(ISERROR(N12/M12-1),"n.a.",N12/M12-1)</f>
        <v>n.a.</v>
      </c>
      <c r="O13" s="118" t="str">
        <f>IF(ISERROR(O12/N12-1),"n.a.",O12/N12-1)</f>
        <v>n.a.</v>
      </c>
      <c r="P13" s="118" t="str">
        <f>IF(ISERROR(P12/O12-1),"n.a.",P12/O12-1)</f>
        <v>n.a.</v>
      </c>
      <c r="Q13" s="119">
        <f>Assumptions!$D$27</f>
      </c>
      <c r="R13" s="325">
        <f>Assumptions!$D$27</f>
      </c>
      <c r="S13" s="325">
        <f>Assumptions!$D$27</f>
      </c>
      <c r="T13" s="325">
        <f>Assumptions!$D$27</f>
      </c>
      <c r="U13" s="325">
        <f>Assumptions!$D$27</f>
      </c>
      <c r="V13" s="119">
        <f>Assumptions!$D$27</f>
      </c>
      <c r="Y13" s="326" t="s">
        <v>149</v>
      </c>
      <c r="Z13" s="326"/>
      <c r="AA13" s="326"/>
      <c r="AB13" s="326"/>
      <c r="AC13" s="326"/>
      <c r="AD13" s="326"/>
      <c r="AE13" s="326"/>
      <c r="AF13" s="326"/>
      <c r="AG13" s="326"/>
      <c r="AH13" s="326"/>
    </row>
    <row r="14" spans="2:34">
      <c r="B14" s="14"/>
      <c r="C14" s="14"/>
      <c r="D14" s="14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2:34">
      <c r="B15" s="5"/>
      <c r="C15" s="33" t="s">
        <v>3</v>
      </c>
      <c r="D15" s="33"/>
      <c r="E15" s="33"/>
      <c r="F15" s="107">
        <v>101.1</v>
      </c>
      <c r="G15" s="107">
        <v>109.9</v>
      </c>
      <c r="H15" s="107">
        <v>114.6</v>
      </c>
      <c r="I15" s="107">
        <v>108.7</v>
      </c>
      <c r="J15" s="107">
        <v>109.5</v>
      </c>
      <c r="K15" s="107">
        <v>98.2</v>
      </c>
      <c r="L15" s="104">
        <v>94.15</v>
      </c>
      <c r="M15" s="104">
        <v>92.62</v>
      </c>
      <c r="N15" s="104">
        <v>111.8</v>
      </c>
      <c r="O15" s="104">
        <v>124.4</v>
      </c>
      <c r="P15" s="104">
        <v>127.57</v>
      </c>
      <c r="Q15" s="104">
        <f>Q11*Q18</f>
      </c>
      <c r="R15" s="104">
        <f>R11*R18</f>
      </c>
      <c r="S15" s="104">
        <f>S11*S18</f>
      </c>
      <c r="T15" s="104">
        <f>T11*T18</f>
      </c>
      <c r="U15" s="104">
        <f>U11*U18</f>
      </c>
      <c r="V15" s="104">
        <f>V11*V18</f>
      </c>
    </row>
    <row r="16" spans="2:34" ht="12.75" customHeight="1" outlineLevel="1">
      <c r="B16" s="5"/>
      <c r="C16" s="109" t="str">
        <f>+$C$12</f>
        <v>Management case</v>
      </c>
      <c r="D16" s="109"/>
      <c r="E16" s="109"/>
      <c r="F16" s="40"/>
      <c r="G16" s="40"/>
      <c r="H16" s="40"/>
      <c r="I16" s="40"/>
      <c r="J16" s="40"/>
      <c r="K16" s="40"/>
      <c r="L16" s="331">
        <v>94.15</v>
      </c>
      <c r="M16" s="331">
        <v>92.62</v>
      </c>
      <c r="N16" s="331">
        <v>111.8</v>
      </c>
      <c r="O16" s="331">
        <v>124.4</v>
      </c>
      <c r="P16" s="331">
        <v>127.57</v>
      </c>
      <c r="Q16" s="40">
        <f>Q15</f>
      </c>
      <c r="R16" s="40">
        <f>R15</f>
      </c>
      <c r="S16" s="40">
        <f>S15</f>
      </c>
      <c r="T16" s="40">
        <f>T15</f>
      </c>
      <c r="U16" s="40">
        <f>U15</f>
      </c>
      <c r="V16" s="40">
        <f>V15</f>
      </c>
      <c r="Y16" s="326" t="s">
        <v>154</v>
      </c>
      <c r="Z16" s="326"/>
      <c r="AA16" s="326"/>
      <c r="AB16" s="326"/>
      <c r="AC16" s="326"/>
      <c r="AD16" s="326"/>
      <c r="AE16" s="326"/>
      <c r="AF16" s="326"/>
      <c r="AG16" s="326"/>
      <c r="AH16" s="326"/>
    </row>
    <row r="17" spans="2:34">
      <c r="B17" s="5"/>
      <c r="C17" s="14" t="s">
        <v>0</v>
      </c>
      <c r="D17" s="14"/>
      <c r="E17" s="6"/>
      <c r="F17" s="118" t="str">
        <f>IF(ISERROR(F15/E15-1),"n.a.",F15/E15-1)</f>
        <v>n.a.</v>
      </c>
      <c r="G17" s="6">
        <f>IF(ISERROR(G15/F15-1),"n.a.",G15/F15-1)</f>
        <v>8.7042532146389906E-2</v>
      </c>
      <c r="H17" s="6">
        <f t="shared" ref="H17:K17" si="3">IF(ISERROR(H15/G15-1),"n.a.",H15/G15-1)</f>
        <v>4.2766151046405687E-2</v>
      </c>
      <c r="I17" s="6">
        <f t="shared" si="3"/>
        <v>-5.148342059336819E-2</v>
      </c>
      <c r="J17" s="6">
        <f t="shared" si="3"/>
        <v>7.3597056117755688E-3</v>
      </c>
      <c r="K17" s="6">
        <f t="shared" si="3"/>
        <v>-0.10319634703196345</v>
      </c>
      <c r="L17" s="6" t="str">
        <f>IF(ISERROR(L15/K15-1),"n.a.",L15/K15-1)</f>
        <v>n.a.</v>
      </c>
      <c r="M17" s="6" t="str">
        <f t="shared" ref="M17:V17" si="4">IF(ISERROR(M15/L15-1),"n.a.",M15/L15-1)</f>
        <v>n.a.</v>
      </c>
      <c r="N17" s="6" t="str">
        <f t="shared" si="4"/>
        <v>n.a.</v>
      </c>
      <c r="O17" s="6" t="str">
        <f t="shared" si="4"/>
        <v>n.a.</v>
      </c>
      <c r="P17" s="6" t="str">
        <f t="shared" si="4"/>
        <v>n.a.</v>
      </c>
      <c r="Q17" s="6" t="str">
        <f t="shared" si="4"/>
        <v>n.a.</v>
      </c>
      <c r="R17" s="6" t="str">
        <f t="shared" si="4"/>
        <v>n.a.</v>
      </c>
      <c r="S17" s="6" t="str">
        <f t="shared" si="4"/>
        <v>n.a.</v>
      </c>
      <c r="T17" s="6" t="str">
        <f t="shared" si="4"/>
        <v>n.a.</v>
      </c>
      <c r="U17" s="6" t="str">
        <f t="shared" si="4"/>
        <v>n.a.</v>
      </c>
      <c r="V17" s="6" t="str">
        <f t="shared" si="4"/>
        <v>n.a.</v>
      </c>
    </row>
    <row r="18" spans="2:34">
      <c r="B18" s="5"/>
      <c r="C18" s="14" t="s">
        <v>78</v>
      </c>
      <c r="D18" s="14"/>
      <c r="E18" s="6"/>
      <c r="L18" s="118">
        <v>0.0819244189587811</v>
      </c>
      <c r="M18" s="118">
        <v>0.07376376798897764</v>
      </c>
      <c r="N18" s="118">
        <v>0.08257992081782191</v>
      </c>
      <c r="O18" s="118">
        <v>0.08597216271130216</v>
      </c>
      <c r="P18" s="155">
        <v>0.08842938542374291</v>
      </c>
      <c r="Q18" s="325">
        <f>Assumptions!$D$28</f>
      </c>
      <c r="R18" s="325">
        <f>Assumptions!$D$28</f>
      </c>
      <c r="S18" s="325">
        <f>Assumptions!$D$28</f>
      </c>
      <c r="T18" s="325">
        <f>Assumptions!$D$28</f>
      </c>
      <c r="U18" s="325">
        <f>Assumptions!$D$28</f>
      </c>
      <c r="V18" s="146">
        <f>Assumptions!$D$28</f>
      </c>
      <c r="Y18" s="326" t="s">
        <v>150</v>
      </c>
      <c r="Z18" s="326"/>
      <c r="AA18" s="326"/>
      <c r="AB18" s="326"/>
      <c r="AC18" s="326"/>
      <c r="AD18" s="326"/>
      <c r="AE18" s="326"/>
      <c r="AF18" s="326"/>
      <c r="AG18" s="326"/>
      <c r="AH18" s="326"/>
    </row>
    <row r="19" spans="2:34">
      <c r="B19" s="14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34">
      <c r="B20" s="14"/>
      <c r="C20" s="33" t="s">
        <v>25</v>
      </c>
      <c r="D20" s="33"/>
      <c r="E20" s="33"/>
      <c r="F20" s="33">
        <f t="shared" ref="F20:K20" si="5">-F15+F25</f>
        <v>-23.299999999999997</v>
      </c>
      <c r="G20" s="33">
        <f t="shared" si="5"/>
        <v>-25.300000000000011</v>
      </c>
      <c r="H20" s="33">
        <f t="shared" si="5"/>
        <v>-30.099999999999994</v>
      </c>
      <c r="I20" s="33">
        <f t="shared" si="5"/>
        <v>-31.600000000000009</v>
      </c>
      <c r="J20" s="33">
        <f t="shared" si="5"/>
        <v>-34.900000000000006</v>
      </c>
      <c r="K20" s="33">
        <f t="shared" si="5"/>
        <v>-36</v>
      </c>
      <c r="L20" s="338">
        <v>-36.13</v>
      </c>
      <c r="M20" s="338">
        <v>-40.46</v>
      </c>
      <c r="N20" s="338">
        <v>-47.2</v>
      </c>
      <c r="O20" s="338">
        <v>-51.83</v>
      </c>
      <c r="P20" s="338">
        <v>-54.8</v>
      </c>
      <c r="Q20" s="104">
        <f>-Q11*Assumptions!$D$29</f>
      </c>
      <c r="R20" s="104">
        <f>-R11*Assumptions!$D$29</f>
      </c>
      <c r="S20" s="104">
        <f>-S11*Assumptions!$D$29</f>
      </c>
      <c r="T20" s="104">
        <f>-T11*Assumptions!$D$29</f>
      </c>
      <c r="U20" s="104">
        <f>-U11*Assumptions!$D$29</f>
      </c>
      <c r="V20" s="104">
        <f>-V11*Assumptions!$D$29</f>
      </c>
      <c r="Y20" s="326" t="s">
        <v>154</v>
      </c>
      <c r="Z20" s="326"/>
      <c r="AA20" s="326"/>
      <c r="AB20" s="326"/>
      <c r="AC20" s="326"/>
      <c r="AD20" s="326"/>
      <c r="AE20" s="326"/>
      <c r="AF20" s="326"/>
      <c r="AG20" s="326"/>
      <c r="AH20" s="326"/>
    </row>
    <row r="21" spans="2:34">
      <c r="B21" s="14"/>
      <c r="C21" s="14" t="s">
        <v>0</v>
      </c>
      <c r="D21" s="14"/>
      <c r="E21" s="6"/>
      <c r="F21" s="6" t="str">
        <f t="shared" ref="F21:V21" si="7">IF(ISERROR(F20/E20-1),"n.a.",F20/E20-1)</f>
        <v>n.a.</v>
      </c>
      <c r="G21" s="6">
        <f t="shared" si="7"/>
        <v>8.5836909871245259E-2</v>
      </c>
      <c r="H21" s="6">
        <f t="shared" si="7"/>
        <v>0.18972332015810212</v>
      </c>
      <c r="I21" s="6">
        <f t="shared" si="7"/>
        <v>4.9833887043189806E-2</v>
      </c>
      <c r="J21" s="6">
        <f t="shared" si="7"/>
        <v>0.10443037974683533</v>
      </c>
      <c r="K21" s="6">
        <f t="shared" si="7"/>
        <v>3.1518624641833748E-2</v>
      </c>
      <c r="L21" s="6">
        <f t="shared" si="7"/>
        <v>-1</v>
      </c>
      <c r="M21" s="6" t="str">
        <f t="shared" si="7"/>
        <v>n.a.</v>
      </c>
      <c r="N21" s="6" t="str">
        <f t="shared" si="7"/>
        <v>n.a.</v>
      </c>
      <c r="O21" s="6" t="str">
        <f t="shared" si="7"/>
        <v>n.a.</v>
      </c>
      <c r="P21" s="6" t="str">
        <f t="shared" si="7"/>
        <v>n.a.</v>
      </c>
      <c r="Q21" s="6" t="str">
        <f t="shared" si="7"/>
        <v>n.a.</v>
      </c>
      <c r="R21" s="6" t="str">
        <f t="shared" si="7"/>
        <v>n.a.</v>
      </c>
      <c r="S21" s="6" t="str">
        <f t="shared" si="7"/>
        <v>n.a.</v>
      </c>
      <c r="T21" s="6" t="str">
        <f t="shared" si="7"/>
        <v>n.a.</v>
      </c>
      <c r="U21" s="6" t="str">
        <f t="shared" si="7"/>
        <v>n.a.</v>
      </c>
      <c r="V21" s="6" t="str">
        <f t="shared" si="7"/>
        <v>n.a.</v>
      </c>
    </row>
    <row r="22" spans="2:34">
      <c r="B22" s="14"/>
      <c r="C22" s="14" t="s">
        <v>8</v>
      </c>
      <c r="D22" s="14"/>
      <c r="E22" s="6"/>
      <c r="F22" s="118">
        <f t="shared" ref="F22:K22" si="8">IF(ISERROR(F20/F$40),"n.a.",F20/F$40)</f>
        <v>0.76644736842105254</v>
      </c>
      <c r="G22" s="118">
        <f t="shared" si="8"/>
        <v>0.67466666666666697</v>
      </c>
      <c r="H22" s="118">
        <f t="shared" si="8"/>
        <v>0.74689826302729523</v>
      </c>
      <c r="I22" s="118">
        <f t="shared" si="8"/>
        <v>0.87534626038781183</v>
      </c>
      <c r="J22" s="118">
        <f t="shared" si="8"/>
        <v>0.93565683646112618</v>
      </c>
      <c r="K22" s="118">
        <f t="shared" si="8"/>
        <v>1.1612903225806452</v>
      </c>
      <c r="L22" s="339"/>
      <c r="M22" s="339"/>
      <c r="N22" s="339"/>
      <c r="O22" s="339"/>
      <c r="P22" s="339"/>
      <c r="Q22" s="325"/>
      <c r="R22" s="325"/>
      <c r="S22" s="325"/>
      <c r="T22" s="325"/>
      <c r="U22" s="325"/>
      <c r="V22" s="146">
        <v>0.95</v>
      </c>
      <c r="X22" s="212"/>
      <c r="Y22" s="326" t="s">
        <v>155</v>
      </c>
      <c r="Z22" s="326"/>
      <c r="AA22" s="326"/>
      <c r="AB22" s="326"/>
      <c r="AC22" s="326"/>
      <c r="AD22" s="326"/>
      <c r="AE22" s="326"/>
      <c r="AF22" s="326"/>
      <c r="AG22" s="326"/>
      <c r="AH22" s="326"/>
    </row>
    <row r="23" spans="2:34">
      <c r="B23" s="14"/>
      <c r="C23" s="14" t="s">
        <v>1</v>
      </c>
      <c r="D23" s="14"/>
      <c r="E23" s="6"/>
      <c r="F23" s="118">
        <f t="shared" ref="F23:V23" si="9">F20/F11*-1</f>
        <v>2.4795147387464082E-2</v>
      </c>
      <c r="G23" s="118">
        <f t="shared" si="9"/>
        <v>2.5176634490994141E-2</v>
      </c>
      <c r="H23" s="118">
        <f t="shared" si="9"/>
        <v>2.9466470876162502E-2</v>
      </c>
      <c r="I23" s="118">
        <f t="shared" si="9"/>
        <v>2.8858447488584484E-2</v>
      </c>
      <c r="J23" s="118">
        <f t="shared" si="9"/>
        <v>3.0746189763016483E-2</v>
      </c>
      <c r="K23" s="118">
        <f t="shared" si="9"/>
        <v>3.1617776216406115E-2</v>
      </c>
      <c r="L23" s="118" t="e">
        <f t="shared" si="9"/>
        <v>#DIV/0!</v>
      </c>
      <c r="M23" s="118" t="e">
        <f t="shared" si="9"/>
        <v>#VALUE!</v>
      </c>
      <c r="N23" s="118" t="e">
        <f t="shared" si="9"/>
        <v>#VALUE!</v>
      </c>
      <c r="O23" s="118" t="e">
        <f t="shared" si="9"/>
        <v>#VALUE!</v>
      </c>
      <c r="P23" s="118" t="e">
        <f t="shared" si="9"/>
        <v>#VALUE!</v>
      </c>
      <c r="Q23" s="118" t="e">
        <f t="shared" si="9"/>
        <v>#VALUE!</v>
      </c>
      <c r="R23" s="118" t="e">
        <f t="shared" si="9"/>
        <v>#VALUE!</v>
      </c>
      <c r="S23" s="118" t="e">
        <f t="shared" si="9"/>
        <v>#VALUE!</v>
      </c>
      <c r="T23" s="118" t="e">
        <f t="shared" si="9"/>
        <v>#VALUE!</v>
      </c>
      <c r="U23" s="118" t="e">
        <f t="shared" si="9"/>
        <v>#VALUE!</v>
      </c>
      <c r="V23" s="118" t="e">
        <f t="shared" si="9"/>
        <v>#VALUE!</v>
      </c>
    </row>
    <row r="24" spans="2:3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34">
      <c r="B25" s="5"/>
      <c r="C25" s="33" t="s">
        <v>5</v>
      </c>
      <c r="D25" s="33"/>
      <c r="E25" s="33"/>
      <c r="F25" s="107">
        <v>77.8</v>
      </c>
      <c r="G25" s="107">
        <v>84.6</v>
      </c>
      <c r="H25" s="107">
        <v>84.5</v>
      </c>
      <c r="I25" s="107">
        <v>77.099999999999994</v>
      </c>
      <c r="J25" s="107">
        <v>74.599999999999994</v>
      </c>
      <c r="K25" s="107">
        <v>62.2</v>
      </c>
      <c r="L25" s="104">
        <v>58.02</v>
      </c>
      <c r="M25" s="104">
        <v>52.160000000000004</v>
      </c>
      <c r="N25" s="104">
        <v>64.6</v>
      </c>
      <c r="O25" s="104">
        <v>72.57000000000001</v>
      </c>
      <c r="P25" s="104">
        <v>72.77</v>
      </c>
      <c r="Q25" s="104">
        <f>Q15+Q20</f>
      </c>
      <c r="R25" s="104">
        <f>R15+R20</f>
      </c>
      <c r="S25" s="104">
        <f>S15+S20</f>
      </c>
      <c r="T25" s="104">
        <f>T15+T20</f>
      </c>
      <c r="U25" s="104">
        <f>U15+U20</f>
      </c>
      <c r="V25" s="104">
        <f>V15+V20</f>
      </c>
    </row>
    <row r="26" spans="2:34">
      <c r="B26" s="5"/>
      <c r="C26" s="14" t="s">
        <v>0</v>
      </c>
      <c r="D26" s="14"/>
      <c r="E26" s="6"/>
      <c r="F26" s="6" t="str">
        <f t="shared" ref="F26:V26" si="11">IF(ISERROR(F25/E25-1),"n.a.",F25/E25-1)</f>
        <v>n.a.</v>
      </c>
      <c r="G26" s="6">
        <f t="shared" si="11"/>
        <v>8.740359897172234E-2</v>
      </c>
      <c r="H26" s="6">
        <f t="shared" si="11"/>
        <v>-1.1820330969266601E-3</v>
      </c>
      <c r="I26" s="6">
        <f t="shared" si="11"/>
        <v>-8.7573964497041468E-2</v>
      </c>
      <c r="J26" s="6">
        <f t="shared" si="11"/>
        <v>-3.2425421530479892E-2</v>
      </c>
      <c r="K26" s="6">
        <f t="shared" si="11"/>
        <v>-0.16621983914209104</v>
      </c>
      <c r="L26" s="6" t="str">
        <f t="shared" si="11"/>
        <v>n.a.</v>
      </c>
      <c r="M26" s="6" t="str">
        <f t="shared" si="11"/>
        <v>n.a.</v>
      </c>
      <c r="N26" s="6" t="str">
        <f t="shared" si="11"/>
        <v>n.a.</v>
      </c>
      <c r="O26" s="6" t="str">
        <f t="shared" si="11"/>
        <v>n.a.</v>
      </c>
      <c r="P26" s="6" t="str">
        <f t="shared" si="11"/>
        <v>n.a.</v>
      </c>
      <c r="Q26" s="6" t="str">
        <f t="shared" si="11"/>
        <v>n.a.</v>
      </c>
      <c r="R26" s="6" t="str">
        <f t="shared" si="11"/>
        <v>n.a.</v>
      </c>
      <c r="S26" s="6" t="str">
        <f t="shared" si="11"/>
        <v>n.a.</v>
      </c>
      <c r="T26" s="6" t="str">
        <f t="shared" si="11"/>
        <v>n.a.</v>
      </c>
      <c r="U26" s="6" t="str">
        <f t="shared" si="11"/>
        <v>n.a.</v>
      </c>
      <c r="V26" s="6" t="str">
        <f t="shared" si="11"/>
        <v>n.a.</v>
      </c>
    </row>
    <row r="27" spans="2:34">
      <c r="B27" s="5"/>
      <c r="C27" s="14" t="s">
        <v>1</v>
      </c>
      <c r="D27" s="14"/>
      <c r="E27" s="6"/>
      <c r="F27" s="6">
        <f t="shared" ref="F27:Q27" si="12">IF(ISERROR(F25/F$11),"n.a.",F25/F$11)</f>
        <v>8.2792380546983069E-2</v>
      </c>
      <c r="G27" s="6">
        <f t="shared" si="12"/>
        <v>8.4187481341427006E-2</v>
      </c>
      <c r="H27" s="6">
        <f t="shared" si="12"/>
        <v>8.272148800783162E-2</v>
      </c>
      <c r="I27" s="6">
        <f t="shared" si="12"/>
        <v>7.0410958904109588E-2</v>
      </c>
      <c r="J27" s="6">
        <f t="shared" si="12"/>
        <v>6.5721081843009427E-2</v>
      </c>
      <c r="K27" s="6">
        <f t="shared" si="12"/>
        <v>5.4628491129457238E-2</v>
      </c>
      <c r="L27" s="6" t="str">
        <f t="shared" si="12"/>
        <v>n.a.</v>
      </c>
      <c r="M27" s="6" t="str">
        <f t="shared" si="12"/>
        <v>n.a.</v>
      </c>
      <c r="N27" s="6" t="str">
        <f t="shared" si="12"/>
        <v>n.a.</v>
      </c>
      <c r="O27" s="6" t="str">
        <f t="shared" si="12"/>
        <v>n.a.</v>
      </c>
      <c r="P27" s="6" t="str">
        <f t="shared" si="12"/>
        <v>n.a.</v>
      </c>
      <c r="Q27" s="6" t="str">
        <f t="shared" si="12"/>
        <v>n.a.</v>
      </c>
      <c r="R27" s="6" t="str">
        <f>IF(ISERROR(R25/R$11),"n.a.",R25/R$11)</f>
        <v>n.a.</v>
      </c>
      <c r="S27" s="6" t="str">
        <f>IF(ISERROR(S25/S$11),"n.a.",S25/S$11)</f>
        <v>n.a.</v>
      </c>
      <c r="T27" s="6" t="str">
        <f>IF(ISERROR(T25/T$11),"n.a.",T25/T$11)</f>
        <v>n.a.</v>
      </c>
      <c r="U27" s="6" t="str">
        <f>IF(ISERROR(U25/U$11),"n.a.",U25/U$11)</f>
        <v>n.a.</v>
      </c>
      <c r="V27" s="6" t="str">
        <f>IF(ISERROR(V25/V$11),"n.a.",V25/V$11)</f>
        <v>n.a.</v>
      </c>
    </row>
    <row r="28" spans="2:34">
      <c r="B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34" ht="12.75" customHeight="1">
      <c r="B29" s="5"/>
      <c r="C29" s="14" t="s">
        <v>6</v>
      </c>
      <c r="D29" s="14"/>
      <c r="E29" s="6"/>
      <c r="F29" s="103"/>
      <c r="G29" s="103"/>
      <c r="H29" s="103"/>
      <c r="I29" s="103"/>
      <c r="J29" s="103"/>
      <c r="K29" s="119">
        <v>0.19</v>
      </c>
      <c r="L29" s="119">
        <v>0.19</v>
      </c>
      <c r="M29" s="119">
        <v>0.19</v>
      </c>
      <c r="N29" s="325">
        <v>0.19</v>
      </c>
      <c r="O29" s="325">
        <v>0.19</v>
      </c>
      <c r="P29" s="325">
        <v>0.19</v>
      </c>
      <c r="Q29" s="325">
        <f>Assumptions!$D$32</f>
      </c>
      <c r="R29" s="325">
        <f>Assumptions!$D$32</f>
      </c>
      <c r="S29" s="325">
        <f>Assumptions!$D$32</f>
      </c>
      <c r="T29" s="325">
        <f>Assumptions!$D$32</f>
      </c>
      <c r="U29" s="325">
        <f>Assumptions!$D$32</f>
      </c>
      <c r="V29" s="325">
        <f>Assumptions!$D$32</f>
      </c>
      <c r="Y29" s="326" t="s">
        <v>151</v>
      </c>
      <c r="Z29" s="326"/>
      <c r="AA29" s="326"/>
      <c r="AB29" s="326"/>
      <c r="AC29" s="326"/>
      <c r="AD29" s="326"/>
      <c r="AE29" s="326"/>
      <c r="AF29" s="326"/>
      <c r="AG29" s="326"/>
      <c r="AH29" s="326"/>
    </row>
    <row r="30" spans="2:34" ht="12.75" customHeight="1">
      <c r="B30" s="5"/>
      <c r="C30" s="14"/>
      <c r="D30" s="14"/>
      <c r="E30" s="6"/>
      <c r="F30" s="103"/>
      <c r="G30" s="103"/>
      <c r="H30" s="103"/>
      <c r="I30" s="103"/>
      <c r="J30" s="103"/>
      <c r="K30" s="323"/>
      <c r="L30" s="323"/>
      <c r="M30" s="323"/>
      <c r="N30" s="322"/>
      <c r="O30" s="322"/>
      <c r="P30" s="322"/>
      <c r="Q30" s="322"/>
      <c r="R30" s="322"/>
      <c r="S30" s="322"/>
      <c r="T30" s="322"/>
      <c r="U30" s="322"/>
      <c r="V30" s="322"/>
    </row>
    <row r="31" spans="2:34">
      <c r="B31" s="5" t="s">
        <v>147</v>
      </c>
      <c r="C31" s="33" t="s">
        <v>148</v>
      </c>
      <c r="D31" s="33"/>
      <c r="E31" s="33"/>
      <c r="F31" s="107">
        <v>55.5</v>
      </c>
      <c r="G31" s="107">
        <v>65.8</v>
      </c>
      <c r="H31" s="107">
        <v>64.900000000000006</v>
      </c>
      <c r="I31" s="107">
        <v>59.5</v>
      </c>
      <c r="J31" s="107">
        <v>58.4</v>
      </c>
      <c r="K31" s="107">
        <v>48.3</v>
      </c>
      <c r="L31" s="110">
        <f>+('Company fin forecasts'!B13+'Company fin forecasts'!I13)*(1-L29)</f>
        <v>44.483575352980296</v>
      </c>
      <c r="M31" s="110">
        <f>+('Company fin forecasts'!C13+'Company fin forecasts'!J13)*(1-M29)</f>
        <v>39.898109599091057</v>
      </c>
      <c r="N31" s="110">
        <f>+('Company fin forecasts'!D13+'Company fin forecasts'!K13)*(1-N29)</f>
        <v>60.5014786213832</v>
      </c>
      <c r="O31" s="110">
        <f>+('Company fin forecasts'!E13+'Company fin forecasts'!L13)*(1-O29)</f>
        <v>68.465397431638422</v>
      </c>
      <c r="P31" s="110">
        <f>+('Company fin forecasts'!F13+'Company fin forecasts'!M13)*(1-P29)</f>
        <v>68.668217212764603</v>
      </c>
      <c r="Q31" s="5">
        <f>Q25*(1-Q29)</f>
      </c>
      <c r="R31" s="5">
        <f>R25*(1-R29)</f>
      </c>
      <c r="S31" s="5">
        <f>S25*(1-S29)</f>
      </c>
      <c r="T31" s="5">
        <f>T25*(1-T29)</f>
      </c>
      <c r="U31" s="5">
        <f>U25*(1-U29)</f>
      </c>
      <c r="V31" s="5">
        <f>V25*(1-V29)</f>
      </c>
    </row>
    <row r="32" spans="2:34">
      <c r="B32" s="5"/>
      <c r="C32" s="14" t="s">
        <v>0</v>
      </c>
      <c r="D32" s="14"/>
      <c r="E32" s="6"/>
      <c r="F32" s="6" t="str">
        <f t="shared" ref="F32:P32" si="13">IF(ISERROR(F31/E31-1),"n.a.",F31/E31-1)</f>
        <v>n.a.</v>
      </c>
      <c r="G32" s="6">
        <f t="shared" si="13"/>
        <v>0.18558558558558547</v>
      </c>
      <c r="H32" s="6">
        <f t="shared" si="13"/>
        <v>-1.3677811550151797E-2</v>
      </c>
      <c r="I32" s="6">
        <f t="shared" si="13"/>
        <v>-8.3204930662557852E-2</v>
      </c>
      <c r="J32" s="6">
        <f t="shared" si="13"/>
        <v>-1.8487394957983239E-2</v>
      </c>
      <c r="K32" s="6">
        <f t="shared" si="13"/>
        <v>-0.17294520547945214</v>
      </c>
      <c r="L32" s="6">
        <f t="shared" si="13"/>
        <v>-7.9015003043886201E-2</v>
      </c>
      <c r="M32" s="6">
        <f t="shared" si="13"/>
        <v>-0.10308222119070343</v>
      </c>
      <c r="N32" s="6">
        <f t="shared" si="13"/>
        <v>0.5163996296897615</v>
      </c>
      <c r="O32" s="6">
        <f t="shared" si="13"/>
        <v>0.13163180457279799</v>
      </c>
      <c r="P32" s="6">
        <f t="shared" si="13"/>
        <v>2.9623691490097137E-3</v>
      </c>
      <c r="Q32" s="324"/>
      <c r="R32" s="324"/>
      <c r="S32" s="324"/>
      <c r="T32" s="5"/>
      <c r="U32" s="5"/>
      <c r="V32" s="5"/>
    </row>
    <row r="33" spans="2:34">
      <c r="B33" s="5"/>
      <c r="C33" s="14" t="s">
        <v>1</v>
      </c>
      <c r="D33" s="14"/>
      <c r="E33" s="6"/>
      <c r="F33" s="6">
        <f t="shared" ref="F33:P33" si="14">IF(ISERROR(F31/F$11),"n.a.",F31/F$11)</f>
        <v>5.9061402575289981E-2</v>
      </c>
      <c r="G33" s="6">
        <f t="shared" si="14"/>
        <v>6.5479152154443221E-2</v>
      </c>
      <c r="H33" s="6">
        <f t="shared" si="14"/>
        <v>6.35340186000979E-2</v>
      </c>
      <c r="I33" s="6">
        <f t="shared" si="14"/>
        <v>5.4337899543378997E-2</v>
      </c>
      <c r="J33" s="6">
        <f t="shared" si="14"/>
        <v>5.1449211523213814E-2</v>
      </c>
      <c r="K33" s="6">
        <f>IF(ISERROR(K31/K$11),"n.a.",K31/K$11)</f>
        <v>4.2420516423678202E-2</v>
      </c>
      <c r="L33" s="6" t="str">
        <f t="shared" si="14"/>
        <v>n.a.</v>
      </c>
      <c r="M33" s="6" t="str">
        <f t="shared" si="14"/>
        <v>n.a.</v>
      </c>
      <c r="N33" s="6" t="str">
        <f t="shared" si="14"/>
        <v>n.a.</v>
      </c>
      <c r="O33" s="6" t="str">
        <f t="shared" si="14"/>
        <v>n.a.</v>
      </c>
      <c r="P33" s="6" t="str">
        <f t="shared" si="14"/>
        <v>n.a.</v>
      </c>
      <c r="Q33" s="5"/>
      <c r="R33" s="5"/>
      <c r="S33" s="5"/>
      <c r="T33" s="5"/>
      <c r="U33" s="5"/>
      <c r="V33" s="5"/>
    </row>
    <row r="34" spans="2:34">
      <c r="B34" s="5"/>
      <c r="C34" s="109"/>
      <c r="D34" s="109"/>
      <c r="E34" s="109"/>
      <c r="F34" s="147"/>
      <c r="G34" s="147"/>
      <c r="H34" s="147"/>
      <c r="I34" s="147"/>
      <c r="J34" s="147"/>
      <c r="K34" s="147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</row>
    <row r="35" spans="2:34">
      <c r="B35" s="5"/>
      <c r="C35" s="109"/>
      <c r="D35" s="109"/>
      <c r="E35" s="109"/>
      <c r="F35" s="147"/>
      <c r="G35" s="147"/>
      <c r="H35" s="147"/>
      <c r="I35" s="147"/>
      <c r="J35" s="147"/>
      <c r="K35" s="147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</row>
    <row r="36" spans="2:34">
      <c r="B36" s="5"/>
      <c r="C36" s="109"/>
      <c r="D36" s="109"/>
      <c r="E36" s="109"/>
      <c r="F36" s="147"/>
      <c r="G36" s="147"/>
      <c r="H36" s="147"/>
      <c r="I36" s="147"/>
      <c r="J36" s="147"/>
      <c r="K36" s="147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</row>
    <row r="37" spans="2:34" ht="12.75" customHeight="1">
      <c r="B37" s="5"/>
      <c r="C37" s="5"/>
      <c r="D37" s="5"/>
      <c r="E37" s="5"/>
      <c r="F37" s="108"/>
      <c r="G37" s="108"/>
      <c r="H37" s="108"/>
      <c r="I37" s="108"/>
      <c r="J37" s="108"/>
      <c r="K37" s="108"/>
      <c r="L37" s="5"/>
      <c r="M37" s="5"/>
      <c r="N37" s="5"/>
      <c r="O37" s="5"/>
      <c r="P37" s="5"/>
      <c r="S37" s="5"/>
      <c r="T37" s="5"/>
      <c r="U37" s="5"/>
      <c r="V37" s="5"/>
    </row>
    <row r="38" spans="2:34">
      <c r="B38" s="5"/>
      <c r="C38" s="16" t="s">
        <v>15</v>
      </c>
      <c r="D38" s="17"/>
      <c r="E38" s="18"/>
      <c r="F38" s="19"/>
      <c r="G38" s="19"/>
      <c r="H38" s="19"/>
      <c r="I38" s="19"/>
      <c r="J38" s="19"/>
      <c r="K38" s="19"/>
      <c r="L38" s="20"/>
      <c r="M38" s="20"/>
      <c r="N38" s="21"/>
      <c r="O38" s="20"/>
      <c r="P38" s="20"/>
      <c r="Q38" s="20"/>
      <c r="R38" s="20"/>
      <c r="S38" s="25"/>
      <c r="T38" s="20"/>
      <c r="U38" s="20"/>
      <c r="V38" s="22"/>
      <c r="W38" s="6"/>
    </row>
    <row r="39" spans="2:34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6"/>
    </row>
    <row r="40" spans="2:34">
      <c r="B40" s="5"/>
      <c r="C40" s="33" t="s">
        <v>7</v>
      </c>
      <c r="D40" s="33"/>
      <c r="E40" s="33"/>
      <c r="F40" s="107">
        <v>-30.4</v>
      </c>
      <c r="G40" s="107">
        <v>-37.5</v>
      </c>
      <c r="H40" s="107">
        <v>-40.299999999999997</v>
      </c>
      <c r="I40" s="107">
        <v>-36.1</v>
      </c>
      <c r="J40" s="107">
        <v>-37.299999999999997</v>
      </c>
      <c r="K40" s="107">
        <v>-31</v>
      </c>
      <c r="L40" s="338">
        <v>-36.0</v>
      </c>
      <c r="M40" s="338">
        <v>-51.0</v>
      </c>
      <c r="N40" s="338">
        <v>-50.0</v>
      </c>
      <c r="O40" s="338">
        <v>-50.0</v>
      </c>
      <c r="P40" s="338">
        <v>-50.0</v>
      </c>
      <c r="Q40" s="327">
        <f>-Q11*Assumptions!$D$30</f>
      </c>
      <c r="R40" s="327">
        <f>-R11*Assumptions!$D$30</f>
      </c>
      <c r="S40" s="327">
        <f>-S11*Assumptions!$D$30</f>
      </c>
      <c r="T40" s="327">
        <f>-T11*Assumptions!$D$30</f>
      </c>
      <c r="U40" s="327">
        <f>-U11*Assumptions!$D$30</f>
      </c>
      <c r="V40" s="327">
        <f>-V11*Assumptions!$D$30</f>
      </c>
      <c r="Y40" s="326" t="s">
        <v>158</v>
      </c>
      <c r="Z40" s="326"/>
      <c r="AA40" s="326"/>
      <c r="AB40" s="326"/>
      <c r="AC40" s="326"/>
      <c r="AD40" s="326"/>
      <c r="AE40" s="326"/>
      <c r="AF40" s="326"/>
      <c r="AG40" s="326"/>
      <c r="AH40" s="326"/>
    </row>
    <row r="41" spans="2:34">
      <c r="B41" s="5"/>
      <c r="C41" s="14" t="s">
        <v>0</v>
      </c>
      <c r="D41" s="14"/>
      <c r="E41" s="6"/>
      <c r="F41" s="6" t="str">
        <f t="shared" ref="F41" si="15">IF(ISERROR(F40/E40-1),"n.a.",F40/E40-1)</f>
        <v>n.a.</v>
      </c>
      <c r="G41" s="6">
        <f>IF(ISERROR(G40/F40-1),"n.a.",G40/F40-1)</f>
        <v>0.23355263157894735</v>
      </c>
      <c r="H41" s="6">
        <f t="shared" ref="H41:V41" si="16">IF(ISERROR(H40/G40-1),"n.a.",H40/G40-1)</f>
        <v>7.4666666666666659E-2</v>
      </c>
      <c r="I41" s="6">
        <f t="shared" si="16"/>
        <v>-0.10421836228287829</v>
      </c>
      <c r="J41" s="6">
        <f t="shared" si="16"/>
        <v>3.3240997229916802E-2</v>
      </c>
      <c r="K41" s="6">
        <f t="shared" si="16"/>
        <v>-0.16890080428954413</v>
      </c>
      <c r="L41" s="6">
        <f t="shared" si="16"/>
        <v>-1</v>
      </c>
      <c r="M41" s="6" t="str">
        <f t="shared" si="16"/>
        <v>n.a.</v>
      </c>
      <c r="N41" s="6" t="str">
        <f t="shared" si="16"/>
        <v>n.a.</v>
      </c>
      <c r="O41" s="6" t="str">
        <f t="shared" si="16"/>
        <v>n.a.</v>
      </c>
      <c r="P41" s="6" t="str">
        <f t="shared" si="16"/>
        <v>n.a.</v>
      </c>
      <c r="Q41" s="6" t="str">
        <f t="shared" si="16"/>
        <v>n.a.</v>
      </c>
      <c r="R41" s="6" t="str">
        <f t="shared" si="16"/>
        <v>n.a.</v>
      </c>
      <c r="S41" s="6" t="str">
        <f t="shared" si="16"/>
        <v>n.a.</v>
      </c>
      <c r="T41" s="6" t="str">
        <f t="shared" si="16"/>
        <v>n.a.</v>
      </c>
      <c r="U41" s="6" t="str">
        <f t="shared" si="16"/>
        <v>n.a.</v>
      </c>
      <c r="V41" s="6" t="str">
        <f t="shared" si="16"/>
        <v>n.a.</v>
      </c>
    </row>
    <row r="42" spans="2:34" ht="12.75" customHeight="1">
      <c r="B42" s="14"/>
      <c r="C42" s="14" t="s">
        <v>24</v>
      </c>
      <c r="D42" s="14"/>
      <c r="E42" s="6"/>
      <c r="F42" s="118">
        <f t="shared" ref="F42:V42" si="17">IF(ISERROR(-F40/F$11),"n.a.",-F40/F$11)</f>
        <v>3.2350750239438113E-2</v>
      </c>
      <c r="G42" s="118">
        <f t="shared" si="17"/>
        <v>3.7317145984675094E-2</v>
      </c>
      <c r="H42" s="118">
        <f t="shared" si="17"/>
        <v>3.9451786588350461E-2</v>
      </c>
      <c r="I42" s="118">
        <f t="shared" si="17"/>
        <v>3.2968036529680368E-2</v>
      </c>
      <c r="J42" s="118">
        <f t="shared" si="17"/>
        <v>3.2860540921504713E-2</v>
      </c>
      <c r="K42" s="118">
        <f t="shared" si="17"/>
        <v>2.7226418408571932E-2</v>
      </c>
      <c r="L42" s="118" t="str">
        <f t="shared" si="17"/>
        <v>n.a.</v>
      </c>
      <c r="M42" s="118" t="str">
        <f t="shared" si="17"/>
        <v>n.a.</v>
      </c>
      <c r="N42" s="118" t="str">
        <f t="shared" si="17"/>
        <v>n.a.</v>
      </c>
      <c r="O42" s="118" t="str">
        <f t="shared" si="17"/>
        <v>n.a.</v>
      </c>
      <c r="P42" s="118" t="str">
        <f t="shared" si="17"/>
        <v>n.a.</v>
      </c>
      <c r="Q42" s="118">
        <f>Assumptions!$D$30</f>
      </c>
      <c r="R42" s="118">
        <f>Assumptions!$D$30</f>
      </c>
      <c r="S42" s="118">
        <f>Assumptions!$D$30</f>
      </c>
      <c r="T42" s="118">
        <f>Assumptions!$D$30</f>
      </c>
      <c r="U42" s="118">
        <f>Assumptions!$D$30</f>
      </c>
      <c r="V42" s="118">
        <f>Assumptions!$D$30</f>
      </c>
    </row>
    <row r="43" spans="2:34">
      <c r="B43" s="14"/>
      <c r="C43" s="14" t="s">
        <v>125</v>
      </c>
      <c r="D43" s="14"/>
      <c r="E43" s="6"/>
      <c r="F43" s="6">
        <f t="shared" ref="F43:V43" si="18">(F15+F40)/F15</f>
        <v>0.69930761622156279</v>
      </c>
      <c r="G43" s="6">
        <f t="shared" si="18"/>
        <v>0.65878070973612379</v>
      </c>
      <c r="H43" s="6">
        <f t="shared" si="18"/>
        <v>0.64834205933682376</v>
      </c>
      <c r="I43" s="6">
        <f t="shared" si="18"/>
        <v>0.66789328426862915</v>
      </c>
      <c r="J43" s="6">
        <f t="shared" si="18"/>
        <v>0.65936073059360734</v>
      </c>
      <c r="K43" s="6">
        <f t="shared" si="18"/>
        <v>0.68431771894093685</v>
      </c>
      <c r="L43" s="6" t="e">
        <f t="shared" si="18"/>
        <v>#VALUE!</v>
      </c>
      <c r="M43" s="6" t="e">
        <f t="shared" si="18"/>
        <v>#VALUE!</v>
      </c>
      <c r="N43" s="6" t="e">
        <f t="shared" si="18"/>
        <v>#VALUE!</v>
      </c>
      <c r="O43" s="6" t="e">
        <f t="shared" si="18"/>
        <v>#VALUE!</v>
      </c>
      <c r="P43" s="6" t="e">
        <f t="shared" si="18"/>
        <v>#VALUE!</v>
      </c>
      <c r="Q43" s="6" t="e">
        <f t="shared" si="18"/>
        <v>#VALUE!</v>
      </c>
      <c r="R43" s="6" t="e">
        <f t="shared" si="18"/>
        <v>#VALUE!</v>
      </c>
      <c r="S43" s="6" t="e">
        <f t="shared" si="18"/>
        <v>#VALUE!</v>
      </c>
      <c r="T43" s="6" t="e">
        <f t="shared" si="18"/>
        <v>#VALUE!</v>
      </c>
      <c r="U43" s="6" t="e">
        <f t="shared" si="18"/>
        <v>#VALUE!</v>
      </c>
      <c r="V43" s="6" t="e">
        <f t="shared" si="18"/>
        <v>#VALUE!</v>
      </c>
    </row>
    <row r="44" spans="2:34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34">
      <c r="C45" s="33" t="s">
        <v>26</v>
      </c>
      <c r="D45" s="33"/>
      <c r="E45" s="33"/>
      <c r="F45" s="107">
        <f>-17+1+10.7</f>
        <v>-5.3000000000000007</v>
      </c>
      <c r="G45" s="107">
        <f>0.9-3+27.2</f>
        <v>25.099999999999998</v>
      </c>
      <c r="H45" s="107">
        <f>-8.6-4.9+2.3</f>
        <v>-11.2</v>
      </c>
      <c r="I45" s="107">
        <f>-33.2+2.3+14.6</f>
        <v>-16.300000000000004</v>
      </c>
      <c r="J45" s="107">
        <f>-4.4+2.4-10.6</f>
        <v>-12.6</v>
      </c>
      <c r="K45" s="107">
        <f>11.9-3.1-19.2</f>
        <v>-10.399999999999999</v>
      </c>
      <c r="L45" s="338">
        <v>-17.23845</v>
      </c>
      <c r="M45" s="338">
        <v>-18.83445</v>
      </c>
      <c r="N45" s="338">
        <v>-20.307599999999997</v>
      </c>
      <c r="O45" s="338">
        <v>-21.7047</v>
      </c>
      <c r="P45" s="338">
        <v>-21.6393</v>
      </c>
      <c r="Q45" s="104">
        <f>Q47*Q11</f>
      </c>
      <c r="R45" s="104">
        <f>R47*R11</f>
      </c>
      <c r="S45" s="104">
        <f>S47*S11</f>
      </c>
      <c r="T45" s="104">
        <f>T47*T11</f>
      </c>
      <c r="U45" s="104">
        <f>U47*U11</f>
      </c>
      <c r="V45" s="104">
        <f>V47*V11</f>
      </c>
      <c r="Y45" s="326" t="s">
        <v>156</v>
      </c>
      <c r="Z45" s="326"/>
      <c r="AA45" s="326"/>
      <c r="AB45" s="326"/>
      <c r="AC45" s="326"/>
      <c r="AD45" s="326"/>
      <c r="AE45" s="326"/>
      <c r="AF45" s="326"/>
      <c r="AG45" s="326"/>
      <c r="AH45" s="326"/>
    </row>
    <row r="46" spans="2:34">
      <c r="C46" s="14" t="s">
        <v>0</v>
      </c>
      <c r="D46" s="109"/>
      <c r="E46" s="109"/>
      <c r="F46" s="6" t="str">
        <f t="shared" ref="F46:V46" si="20">IF(ISERROR(F45/E45-1),"n.a.",F45/E45-1)</f>
        <v>n.a.</v>
      </c>
      <c r="G46" s="6">
        <f t="shared" si="20"/>
        <v>-5.7358490566037723</v>
      </c>
      <c r="H46" s="6">
        <f t="shared" si="20"/>
        <v>-1.4462151394422311</v>
      </c>
      <c r="I46" s="6">
        <f t="shared" si="20"/>
        <v>0.45535714285714324</v>
      </c>
      <c r="J46" s="6">
        <f t="shared" si="20"/>
        <v>-0.22699386503067509</v>
      </c>
      <c r="K46" s="6">
        <f t="shared" si="20"/>
        <v>-0.17460317460317465</v>
      </c>
      <c r="L46" s="6">
        <f t="shared" si="20"/>
        <v>-1</v>
      </c>
      <c r="M46" s="6" t="str">
        <f t="shared" si="20"/>
        <v>n.a.</v>
      </c>
      <c r="N46" s="6" t="str">
        <f t="shared" si="20"/>
        <v>n.a.</v>
      </c>
      <c r="O46" s="6" t="str">
        <f t="shared" si="20"/>
        <v>n.a.</v>
      </c>
      <c r="P46" s="6" t="str">
        <f t="shared" si="20"/>
        <v>n.a.</v>
      </c>
      <c r="Q46" s="6" t="str">
        <f t="shared" si="20"/>
        <v>n.a.</v>
      </c>
      <c r="R46" s="6" t="str">
        <f t="shared" si="20"/>
        <v>n.a.</v>
      </c>
      <c r="S46" s="6" t="str">
        <f t="shared" si="20"/>
        <v>n.a.</v>
      </c>
      <c r="T46" s="6" t="str">
        <f t="shared" si="20"/>
        <v>n.a.</v>
      </c>
      <c r="U46" s="6" t="str">
        <f t="shared" si="20"/>
        <v>n.a.</v>
      </c>
      <c r="V46" s="6" t="str">
        <f t="shared" si="20"/>
        <v>n.a.</v>
      </c>
    </row>
    <row r="47" spans="2:34">
      <c r="C47" s="14" t="s">
        <v>24</v>
      </c>
      <c r="D47" s="14"/>
      <c r="E47" s="6"/>
      <c r="F47" s="6">
        <f t="shared" ref="F47:P47" si="21">IF(ISERROR(F45/F$11),"n.a.",F45/F$11)</f>
        <v>-5.6400979035862511E-3</v>
      </c>
      <c r="G47" s="6">
        <f t="shared" si="21"/>
        <v>2.4977609712409192E-2</v>
      </c>
      <c r="H47" s="6">
        <f t="shared" si="21"/>
        <v>-1.0964268232990699E-2</v>
      </c>
      <c r="I47" s="6">
        <f t="shared" si="21"/>
        <v>-1.4885844748858451E-2</v>
      </c>
      <c r="J47" s="6">
        <f t="shared" si="21"/>
        <v>-1.1100343582063256E-2</v>
      </c>
      <c r="K47" s="6">
        <f t="shared" si="21"/>
        <v>-9.1340242402950991E-3</v>
      </c>
      <c r="L47" s="6">
        <v>-0.015</v>
      </c>
      <c r="M47" s="6">
        <v>-0.015</v>
      </c>
      <c r="N47" s="6">
        <v>-0.015</v>
      </c>
      <c r="O47" s="6">
        <v>-0.015</v>
      </c>
      <c r="P47" s="6">
        <v>-0.015</v>
      </c>
      <c r="Q47" s="119">
        <f>-Assumptions!$D$31</f>
      </c>
      <c r="R47" s="6">
        <f>-Assumptions!$D$31</f>
      </c>
      <c r="S47" s="6">
        <f>-Assumptions!$D$31</f>
      </c>
      <c r="T47" s="6">
        <f>-Assumptions!$D$31</f>
      </c>
      <c r="U47" s="6">
        <f>-Assumptions!$D$31</f>
      </c>
      <c r="V47" s="6">
        <f>-Assumptions!$D$31</f>
      </c>
    </row>
    <row r="48" spans="2:34">
      <c r="C48" s="14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2:34">
      <c r="B49" s="5"/>
      <c r="C49" s="33" t="s">
        <v>127</v>
      </c>
      <c r="D49" s="33"/>
      <c r="E49" s="33"/>
      <c r="F49" s="107"/>
      <c r="G49" s="107"/>
      <c r="H49" s="107"/>
      <c r="I49" s="107"/>
      <c r="J49" s="107">
        <v>-1.5</v>
      </c>
      <c r="K49" s="107">
        <v>0.74</v>
      </c>
      <c r="L49" s="338">
        <v>0</v>
      </c>
      <c r="M49" s="338">
        <v>0</v>
      </c>
      <c r="N49" s="338">
        <v>0</v>
      </c>
      <c r="O49" s="338">
        <v>0</v>
      </c>
      <c r="P49" s="338">
        <v>0</v>
      </c>
      <c r="Q49" s="327">
        <v>0</v>
      </c>
      <c r="R49" s="327">
        <v>0</v>
      </c>
      <c r="S49" s="327">
        <v>0</v>
      </c>
      <c r="T49" s="327">
        <v>0</v>
      </c>
      <c r="U49" s="327">
        <v>0</v>
      </c>
      <c r="V49" s="327">
        <v>0</v>
      </c>
      <c r="Y49" s="326" t="s">
        <v>157</v>
      </c>
      <c r="Z49" s="326"/>
      <c r="AA49" s="326"/>
      <c r="AB49" s="326"/>
      <c r="AC49" s="326"/>
      <c r="AD49" s="326"/>
      <c r="AE49" s="326"/>
      <c r="AF49" s="326"/>
      <c r="AG49" s="326"/>
      <c r="AH49" s="326"/>
    </row>
    <row r="50" spans="2:34">
      <c r="B50" s="5"/>
      <c r="C50" s="14" t="s">
        <v>0</v>
      </c>
      <c r="D50" s="14"/>
      <c r="E50" s="6"/>
      <c r="F50" s="6" t="str">
        <f t="shared" ref="F50" si="23">IF(ISERROR(F49/E49-1),"n.a.",F49/E49-1)</f>
        <v>n.a.</v>
      </c>
      <c r="G50" s="6" t="str">
        <f>IF(ISERROR(G49/F49-1),"n.a.",G49/F49-1)</f>
        <v>n.a.</v>
      </c>
      <c r="H50" s="6" t="str">
        <f t="shared" ref="H50" si="24">IF(ISERROR(H49/G49-1),"n.a.",H49/G49-1)</f>
        <v>n.a.</v>
      </c>
      <c r="I50" s="6" t="str">
        <f t="shared" ref="I50" si="25">IF(ISERROR(I49/H49-1),"n.a.",I49/H49-1)</f>
        <v>n.a.</v>
      </c>
      <c r="J50" s="6" t="str">
        <f t="shared" ref="J50" si="26">IF(ISERROR(J49/I49-1),"n.a.",J49/I49-1)</f>
        <v>n.a.</v>
      </c>
      <c r="K50" s="6">
        <f t="shared" ref="K50" si="27">IF(ISERROR(K49/J49-1),"n.a.",K49/J49-1)</f>
        <v>-1.4933333333333334</v>
      </c>
      <c r="L50" s="6">
        <f t="shared" ref="L50" si="28">IF(ISERROR(L49/K49-1),"n.a.",L49/K49-1)</f>
        <v>-1</v>
      </c>
      <c r="M50" s="6" t="str">
        <f t="shared" ref="M50" si="29">IF(ISERROR(M49/L49-1),"n.a.",M49/L49-1)</f>
        <v>n.a.</v>
      </c>
      <c r="N50" s="6" t="str">
        <f t="shared" ref="N50" si="30">IF(ISERROR(N49/M49-1),"n.a.",N49/M49-1)</f>
        <v>n.a.</v>
      </c>
      <c r="O50" s="6" t="str">
        <f t="shared" ref="O50" si="31">IF(ISERROR(O49/N49-1),"n.a.",O49/N49-1)</f>
        <v>n.a.</v>
      </c>
      <c r="P50" s="6" t="str">
        <f t="shared" ref="P50" si="32">IF(ISERROR(P49/O49-1),"n.a.",P49/O49-1)</f>
        <v>n.a.</v>
      </c>
      <c r="Q50" s="6" t="str">
        <f t="shared" ref="Q50" si="33">IF(ISERROR(Q49/P49-1),"n.a.",Q49/P49-1)</f>
        <v>n.a.</v>
      </c>
      <c r="R50" s="6" t="str">
        <f t="shared" ref="R50" si="34">IF(ISERROR(R49/Q49-1),"n.a.",R49/Q49-1)</f>
        <v>n.a.</v>
      </c>
      <c r="S50" s="6" t="str">
        <f t="shared" ref="S50" si="35">IF(ISERROR(S49/R49-1),"n.a.",S49/R49-1)</f>
        <v>n.a.</v>
      </c>
      <c r="T50" s="6" t="str">
        <f t="shared" ref="T50" si="36">IF(ISERROR(T49/S49-1),"n.a.",T49/S49-1)</f>
        <v>n.a.</v>
      </c>
      <c r="U50" s="6" t="str">
        <f t="shared" ref="U50" si="37">IF(ISERROR(U49/T49-1),"n.a.",U49/T49-1)</f>
        <v>n.a.</v>
      </c>
      <c r="V50" s="6" t="str">
        <f t="shared" ref="V50" si="38">IF(ISERROR(V49/U49-1),"n.a.",V49/U49-1)</f>
        <v>n.a.</v>
      </c>
    </row>
    <row r="51" spans="2:34" ht="12.75" customHeight="1">
      <c r="B51" s="14"/>
      <c r="C51" s="14" t="s">
        <v>24</v>
      </c>
      <c r="D51" s="14"/>
      <c r="E51" s="6"/>
      <c r="F51" s="118">
        <f t="shared" ref="F51:V51" si="39">IF(ISERROR(-F49/F$11),"n.a.",-F49/F$11)</f>
        <v>0</v>
      </c>
      <c r="G51" s="118">
        <f t="shared" si="39"/>
        <v>0</v>
      </c>
      <c r="H51" s="118">
        <f t="shared" si="39"/>
        <v>0</v>
      </c>
      <c r="I51" s="118">
        <f t="shared" si="39"/>
        <v>0</v>
      </c>
      <c r="J51" s="118">
        <f t="shared" si="39"/>
        <v>1.3214694740551493E-3</v>
      </c>
      <c r="K51" s="118">
        <f t="shared" si="39"/>
        <v>-6.4992095555945904E-4</v>
      </c>
      <c r="L51" s="118" t="str">
        <f t="shared" si="39"/>
        <v>n.a.</v>
      </c>
      <c r="M51" s="118" t="str">
        <f t="shared" si="39"/>
        <v>n.a.</v>
      </c>
      <c r="N51" s="118" t="str">
        <f t="shared" si="39"/>
        <v>n.a.</v>
      </c>
      <c r="O51" s="118" t="str">
        <f t="shared" si="39"/>
        <v>n.a.</v>
      </c>
      <c r="P51" s="118" t="str">
        <f t="shared" si="39"/>
        <v>n.a.</v>
      </c>
      <c r="Q51" s="118" t="str">
        <f t="shared" si="39"/>
        <v>n.a.</v>
      </c>
      <c r="R51" s="118" t="str">
        <f t="shared" si="39"/>
        <v>n.a.</v>
      </c>
      <c r="S51" s="118" t="str">
        <f t="shared" si="39"/>
        <v>n.a.</v>
      </c>
      <c r="T51" s="118" t="str">
        <f t="shared" si="39"/>
        <v>n.a.</v>
      </c>
      <c r="U51" s="118" t="str">
        <f t="shared" si="39"/>
        <v>n.a.</v>
      </c>
      <c r="V51" s="118" t="str">
        <f t="shared" si="39"/>
        <v>n.a.</v>
      </c>
    </row>
    <row r="52" spans="2:34">
      <c r="C52" s="14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2:34">
      <c r="B53" s="5"/>
      <c r="C53" s="33" t="s">
        <v>128</v>
      </c>
      <c r="D53" s="33"/>
      <c r="E53" s="33"/>
      <c r="F53" s="107"/>
      <c r="G53" s="107"/>
      <c r="H53" s="107"/>
      <c r="I53" s="107"/>
      <c r="J53" s="107">
        <v>0</v>
      </c>
      <c r="K53" s="107">
        <v>0</v>
      </c>
      <c r="L53" s="338">
        <v>0</v>
      </c>
      <c r="M53" s="338">
        <v>0</v>
      </c>
      <c r="N53" s="338">
        <v>0</v>
      </c>
      <c r="O53" s="338">
        <v>0</v>
      </c>
      <c r="P53" s="338">
        <v>0</v>
      </c>
      <c r="Q53" s="107">
        <v>0</v>
      </c>
      <c r="R53" s="107">
        <v>0</v>
      </c>
      <c r="S53" s="107">
        <v>0</v>
      </c>
      <c r="T53" s="107">
        <v>0</v>
      </c>
      <c r="U53" s="107">
        <v>0</v>
      </c>
      <c r="V53" s="107">
        <v>0</v>
      </c>
      <c r="Y53" s="326" t="s">
        <v>154</v>
      </c>
      <c r="Z53" s="326"/>
      <c r="AA53" s="326"/>
      <c r="AB53" s="326"/>
      <c r="AC53" s="326"/>
      <c r="AD53" s="326"/>
      <c r="AE53" s="326"/>
      <c r="AF53" s="326"/>
      <c r="AG53" s="326"/>
      <c r="AH53" s="326"/>
    </row>
    <row r="54" spans="2:34">
      <c r="B54" s="5"/>
      <c r="C54" s="14" t="s">
        <v>0</v>
      </c>
      <c r="D54" s="14"/>
      <c r="E54" s="6"/>
      <c r="F54" s="6" t="str">
        <f t="shared" ref="F54" si="41">IF(ISERROR(F53/E53-1),"n.a.",F53/E53-1)</f>
        <v>n.a.</v>
      </c>
      <c r="G54" s="6" t="str">
        <f>IF(ISERROR(G53/F53-1),"n.a.",G53/F53-1)</f>
        <v>n.a.</v>
      </c>
      <c r="H54" s="6" t="str">
        <f t="shared" ref="H54" si="42">IF(ISERROR(H53/G53-1),"n.a.",H53/G53-1)</f>
        <v>n.a.</v>
      </c>
      <c r="I54" s="6" t="str">
        <f t="shared" ref="I54" si="43">IF(ISERROR(I53/H53-1),"n.a.",I53/H53-1)</f>
        <v>n.a.</v>
      </c>
      <c r="J54" s="6" t="str">
        <f t="shared" ref="J54" si="44">IF(ISERROR(J53/I53-1),"n.a.",J53/I53-1)</f>
        <v>n.a.</v>
      </c>
      <c r="K54" s="6" t="str">
        <f t="shared" ref="K54" si="45">IF(ISERROR(K53/J53-1),"n.a.",K53/J53-1)</f>
        <v>n.a.</v>
      </c>
      <c r="L54" s="6" t="str">
        <f t="shared" ref="L54" si="46">IF(ISERROR(L53/K53-1),"n.a.",L53/K53-1)</f>
        <v>n.a.</v>
      </c>
      <c r="M54" s="6" t="str">
        <f t="shared" ref="M54" si="47">IF(ISERROR(M53/L53-1),"n.a.",M53/L53-1)</f>
        <v>n.a.</v>
      </c>
      <c r="N54" s="6" t="str">
        <f t="shared" ref="N54" si="48">IF(ISERROR(N53/M53-1),"n.a.",N53/M53-1)</f>
        <v>n.a.</v>
      </c>
      <c r="O54" s="6" t="str">
        <f t="shared" ref="O54" si="49">IF(ISERROR(O53/N53-1),"n.a.",O53/N53-1)</f>
        <v>n.a.</v>
      </c>
      <c r="P54" s="6" t="str">
        <f t="shared" ref="P54" si="50">IF(ISERROR(P53/O53-1),"n.a.",P53/O53-1)</f>
        <v>n.a.</v>
      </c>
      <c r="Q54" s="6" t="str">
        <f t="shared" ref="Q54" si="51">IF(ISERROR(Q53/P53-1),"n.a.",Q53/P53-1)</f>
        <v>n.a.</v>
      </c>
      <c r="R54" s="6" t="str">
        <f t="shared" ref="R54" si="52">IF(ISERROR(R53/Q53-1),"n.a.",R53/Q53-1)</f>
        <v>n.a.</v>
      </c>
      <c r="S54" s="6" t="str">
        <f t="shared" ref="S54" si="53">IF(ISERROR(S53/R53-1),"n.a.",S53/R53-1)</f>
        <v>n.a.</v>
      </c>
      <c r="T54" s="6" t="str">
        <f t="shared" ref="T54" si="54">IF(ISERROR(T53/S53-1),"n.a.",T53/S53-1)</f>
        <v>n.a.</v>
      </c>
      <c r="U54" s="6" t="str">
        <f t="shared" ref="U54" si="55">IF(ISERROR(U53/T53-1),"n.a.",U53/T53-1)</f>
        <v>n.a.</v>
      </c>
      <c r="V54" s="6" t="str">
        <f t="shared" ref="V54" si="56">IF(ISERROR(V53/U53-1),"n.a.",V53/U53-1)</f>
        <v>n.a.</v>
      </c>
    </row>
    <row r="55" spans="2:34" ht="12.75" customHeight="1">
      <c r="B55" s="14"/>
      <c r="C55" s="14" t="s">
        <v>24</v>
      </c>
      <c r="D55" s="14"/>
      <c r="E55" s="6"/>
      <c r="F55" s="118">
        <f t="shared" ref="F55:V55" si="57">IF(ISERROR(-F53/F$11),"n.a.",-F53/F$11)</f>
        <v>0</v>
      </c>
      <c r="G55" s="118">
        <f t="shared" si="57"/>
        <v>0</v>
      </c>
      <c r="H55" s="118">
        <f t="shared" si="57"/>
        <v>0</v>
      </c>
      <c r="I55" s="118">
        <f t="shared" si="57"/>
        <v>0</v>
      </c>
      <c r="J55" s="118">
        <f t="shared" si="57"/>
        <v>0</v>
      </c>
      <c r="K55" s="118">
        <f t="shared" si="57"/>
        <v>0</v>
      </c>
      <c r="L55" s="118" t="str">
        <f t="shared" si="57"/>
        <v>n.a.</v>
      </c>
      <c r="M55" s="118" t="str">
        <f t="shared" si="57"/>
        <v>n.a.</v>
      </c>
      <c r="N55" s="118" t="str">
        <f t="shared" si="57"/>
        <v>n.a.</v>
      </c>
      <c r="O55" s="118" t="str">
        <f t="shared" si="57"/>
        <v>n.a.</v>
      </c>
      <c r="P55" s="118" t="str">
        <f t="shared" si="57"/>
        <v>n.a.</v>
      </c>
      <c r="Q55" s="118" t="str">
        <f t="shared" si="57"/>
        <v>n.a.</v>
      </c>
      <c r="R55" s="118" t="str">
        <f t="shared" si="57"/>
        <v>n.a.</v>
      </c>
      <c r="S55" s="118" t="str">
        <f t="shared" si="57"/>
        <v>n.a.</v>
      </c>
      <c r="T55" s="118" t="str">
        <f t="shared" si="57"/>
        <v>n.a.</v>
      </c>
      <c r="U55" s="118" t="str">
        <f t="shared" si="57"/>
        <v>n.a.</v>
      </c>
      <c r="V55" s="118" t="str">
        <f t="shared" si="57"/>
        <v>n.a.</v>
      </c>
    </row>
    <row r="56" spans="2:34">
      <c r="L56" s="212"/>
      <c r="M56" s="212"/>
    </row>
    <row r="57" spans="2:34">
      <c r="C57" s="88" t="s">
        <v>13</v>
      </c>
      <c r="D57" s="89"/>
      <c r="E57" s="90"/>
      <c r="F57" s="91"/>
      <c r="G57" s="91"/>
      <c r="H57" s="91"/>
      <c r="I57" s="91"/>
      <c r="J57" s="91"/>
      <c r="K57" s="91"/>
      <c r="L57" s="90"/>
      <c r="M57" s="91"/>
      <c r="N57" s="89"/>
      <c r="O57" s="89"/>
      <c r="P57" s="89"/>
      <c r="Q57" s="89"/>
      <c r="R57" s="89"/>
      <c r="S57" s="89"/>
      <c r="T57" s="89"/>
      <c r="U57" s="89"/>
      <c r="V57" s="89"/>
    </row>
    <row r="58" spans="2:34">
      <c r="C58" s="71" t="s">
        <v>69</v>
      </c>
      <c r="D58" s="71"/>
      <c r="E58" s="99"/>
      <c r="F58" s="205">
        <f t="shared" ref="F58:V58" si="58">F9</f>
        <v>42094</v>
      </c>
      <c r="G58" s="205">
        <f t="shared" si="58"/>
        <v>42460</v>
      </c>
      <c r="H58" s="205">
        <f t="shared" si="58"/>
        <v>42825</v>
      </c>
      <c r="I58" s="205">
        <f t="shared" si="58"/>
        <v>43190</v>
      </c>
      <c r="J58" s="205">
        <f t="shared" si="58"/>
        <v>43555</v>
      </c>
      <c r="K58" s="205">
        <f t="shared" si="58"/>
        <v>43921</v>
      </c>
      <c r="L58" s="206">
        <f t="shared" si="58"/>
        <v>44286</v>
      </c>
      <c r="M58" s="206">
        <f t="shared" si="58"/>
        <v>44651</v>
      </c>
      <c r="N58" s="206">
        <f t="shared" si="58"/>
        <v>45016</v>
      </c>
      <c r="O58" s="206">
        <f t="shared" si="58"/>
        <v>45382</v>
      </c>
      <c r="P58" s="206">
        <f t="shared" si="58"/>
        <v>45747</v>
      </c>
      <c r="Q58" s="206">
        <f t="shared" si="58"/>
        <v>46112</v>
      </c>
      <c r="R58" s="206">
        <f t="shared" si="58"/>
        <v>46477</v>
      </c>
      <c r="S58" s="206">
        <f t="shared" si="58"/>
        <v>46843</v>
      </c>
      <c r="T58" s="206">
        <f t="shared" si="58"/>
        <v>47208</v>
      </c>
      <c r="U58" s="206">
        <f t="shared" si="58"/>
        <v>47573</v>
      </c>
      <c r="V58" s="206">
        <f t="shared" si="58"/>
        <v>47938</v>
      </c>
    </row>
    <row r="59" spans="2:34">
      <c r="C59" s="101"/>
      <c r="D59" s="101"/>
      <c r="E59" s="102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</row>
    <row r="60" spans="2:34">
      <c r="C60" s="203" t="s">
        <v>2</v>
      </c>
      <c r="D60" s="203"/>
      <c r="E60" s="203"/>
      <c r="F60" s="208">
        <f t="shared" ref="F60:O60" si="59">F11</f>
        <v>939.7</v>
      </c>
      <c r="G60" s="208">
        <f t="shared" si="59"/>
        <v>1004.9</v>
      </c>
      <c r="H60" s="208">
        <f t="shared" si="59"/>
        <v>1021.5</v>
      </c>
      <c r="I60" s="208">
        <f t="shared" si="59"/>
        <v>1095</v>
      </c>
      <c r="J60" s="208">
        <f t="shared" si="59"/>
        <v>1135.0999999999999</v>
      </c>
      <c r="K60" s="208">
        <f t="shared" si="59"/>
        <v>1138.5999999999999</v>
      </c>
      <c r="L60" s="208">
        <f t="shared" si="59"/>
        <v>0</v>
      </c>
      <c r="M60" s="208" t="e">
        <f t="shared" si="59"/>
        <v>#VALUE!</v>
      </c>
      <c r="N60" s="208" t="e">
        <f t="shared" si="59"/>
        <v>#VALUE!</v>
      </c>
      <c r="O60" s="208" t="e">
        <f t="shared" si="59"/>
        <v>#VALUE!</v>
      </c>
      <c r="P60" s="208" t="e">
        <f t="shared" ref="P60:V60" si="60">P11</f>
        <v>#VALUE!</v>
      </c>
      <c r="Q60" s="208" t="e">
        <f t="shared" si="60"/>
        <v>#VALUE!</v>
      </c>
      <c r="R60" s="208" t="e">
        <f t="shared" si="60"/>
        <v>#VALUE!</v>
      </c>
      <c r="S60" s="208" t="e">
        <f t="shared" si="60"/>
        <v>#VALUE!</v>
      </c>
      <c r="T60" s="208" t="e">
        <f t="shared" si="60"/>
        <v>#VALUE!</v>
      </c>
      <c r="U60" s="208" t="e">
        <f t="shared" si="60"/>
        <v>#VALUE!</v>
      </c>
      <c r="V60" s="208" t="e">
        <f t="shared" si="60"/>
        <v>#VALUE!</v>
      </c>
    </row>
    <row r="61" spans="2:34">
      <c r="C61" s="200" t="s">
        <v>0</v>
      </c>
      <c r="D61" s="199"/>
      <c r="E61" s="201"/>
      <c r="F61" s="209" t="str">
        <f>IF(ISERROR(F60/E60-1),"n.a.",F60/E60-1)</f>
        <v>n.a.</v>
      </c>
      <c r="G61" s="209">
        <f t="shared" ref="G61:V61" si="61">IF(ISERROR(G60/F60-1),"n.a.",G60/F60-1)</f>
        <v>6.9383845908268516E-2</v>
      </c>
      <c r="H61" s="209">
        <f t="shared" si="61"/>
        <v>1.6519056622549488E-2</v>
      </c>
      <c r="I61" s="209">
        <f t="shared" si="61"/>
        <v>7.1953010279001361E-2</v>
      </c>
      <c r="J61" s="209">
        <f t="shared" si="61"/>
        <v>3.6621004566209869E-2</v>
      </c>
      <c r="K61" s="209">
        <f t="shared" si="61"/>
        <v>3.0834287727954379E-3</v>
      </c>
      <c r="L61" s="209">
        <f t="shared" si="61"/>
        <v>-1</v>
      </c>
      <c r="M61" s="209" t="str">
        <f t="shared" si="61"/>
        <v>n.a.</v>
      </c>
      <c r="N61" s="209" t="str">
        <f t="shared" si="61"/>
        <v>n.a.</v>
      </c>
      <c r="O61" s="209" t="str">
        <f t="shared" si="61"/>
        <v>n.a.</v>
      </c>
      <c r="P61" s="209" t="str">
        <f t="shared" si="61"/>
        <v>n.a.</v>
      </c>
      <c r="Q61" s="209" t="str">
        <f t="shared" si="61"/>
        <v>n.a.</v>
      </c>
      <c r="R61" s="209" t="str">
        <f t="shared" si="61"/>
        <v>n.a.</v>
      </c>
      <c r="S61" s="209" t="str">
        <f t="shared" si="61"/>
        <v>n.a.</v>
      </c>
      <c r="T61" s="209" t="str">
        <f t="shared" si="61"/>
        <v>n.a.</v>
      </c>
      <c r="U61" s="209" t="str">
        <f t="shared" si="61"/>
        <v>n.a.</v>
      </c>
      <c r="V61" s="209" t="str">
        <f t="shared" si="61"/>
        <v>n.a.</v>
      </c>
    </row>
    <row r="62" spans="2:34">
      <c r="C62" s="203" t="s">
        <v>3</v>
      </c>
      <c r="D62" s="203"/>
      <c r="E62" s="203"/>
      <c r="F62" s="208">
        <f t="shared" ref="F62:P62" si="62">F15</f>
        <v>101.1</v>
      </c>
      <c r="G62" s="208">
        <f t="shared" si="62"/>
        <v>109.9</v>
      </c>
      <c r="H62" s="208">
        <f t="shared" si="62"/>
        <v>114.6</v>
      </c>
      <c r="I62" s="208">
        <f t="shared" si="62"/>
        <v>108.7</v>
      </c>
      <c r="J62" s="208">
        <f t="shared" si="62"/>
        <v>109.5</v>
      </c>
      <c r="K62" s="208">
        <f t="shared" si="62"/>
        <v>98.2</v>
      </c>
      <c r="L62" s="208" t="e">
        <f t="shared" si="62"/>
        <v>#VALUE!</v>
      </c>
      <c r="M62" s="208" t="e">
        <f t="shared" si="62"/>
        <v>#VALUE!</v>
      </c>
      <c r="N62" s="208" t="e">
        <f t="shared" si="62"/>
        <v>#VALUE!</v>
      </c>
      <c r="O62" s="208" t="e">
        <f t="shared" si="62"/>
        <v>#VALUE!</v>
      </c>
      <c r="P62" s="208" t="e">
        <f t="shared" si="62"/>
        <v>#VALUE!</v>
      </c>
      <c r="Q62" s="208" t="e">
        <f t="shared" ref="Q62:V62" si="63">Q15</f>
        <v>#VALUE!</v>
      </c>
      <c r="R62" s="208" t="e">
        <f t="shared" si="63"/>
        <v>#VALUE!</v>
      </c>
      <c r="S62" s="208" t="e">
        <f t="shared" si="63"/>
        <v>#VALUE!</v>
      </c>
      <c r="T62" s="208" t="e">
        <f t="shared" si="63"/>
        <v>#VALUE!</v>
      </c>
      <c r="U62" s="208" t="e">
        <f t="shared" si="63"/>
        <v>#VALUE!</v>
      </c>
      <c r="V62" s="208" t="e">
        <f t="shared" si="63"/>
        <v>#VALUE!</v>
      </c>
    </row>
    <row r="63" spans="2:34">
      <c r="C63" s="200" t="s">
        <v>0</v>
      </c>
      <c r="D63" s="199"/>
      <c r="E63" s="201"/>
      <c r="F63" s="209" t="str">
        <f>IF(ISERROR(F62/E62-1),"n.a.",F62/E62-1)</f>
        <v>n.a.</v>
      </c>
      <c r="G63" s="209">
        <f t="shared" ref="G63:V63" si="64">IF(ISERROR(G62/F62-1),"n.a.",G62/F62-1)</f>
        <v>8.7042532146389906E-2</v>
      </c>
      <c r="H63" s="209">
        <f t="shared" si="64"/>
        <v>4.2766151046405687E-2</v>
      </c>
      <c r="I63" s="209">
        <f t="shared" si="64"/>
        <v>-5.148342059336819E-2</v>
      </c>
      <c r="J63" s="209">
        <f t="shared" si="64"/>
        <v>7.3597056117755688E-3</v>
      </c>
      <c r="K63" s="209">
        <f t="shared" si="64"/>
        <v>-0.10319634703196345</v>
      </c>
      <c r="L63" s="209" t="str">
        <f t="shared" si="64"/>
        <v>n.a.</v>
      </c>
      <c r="M63" s="209" t="str">
        <f t="shared" si="64"/>
        <v>n.a.</v>
      </c>
      <c r="N63" s="209" t="str">
        <f t="shared" si="64"/>
        <v>n.a.</v>
      </c>
      <c r="O63" s="209" t="str">
        <f t="shared" si="64"/>
        <v>n.a.</v>
      </c>
      <c r="P63" s="209" t="str">
        <f t="shared" si="64"/>
        <v>n.a.</v>
      </c>
      <c r="Q63" s="209" t="str">
        <f t="shared" si="64"/>
        <v>n.a.</v>
      </c>
      <c r="R63" s="209" t="str">
        <f t="shared" si="64"/>
        <v>n.a.</v>
      </c>
      <c r="S63" s="209" t="str">
        <f t="shared" si="64"/>
        <v>n.a.</v>
      </c>
      <c r="T63" s="209" t="str">
        <f t="shared" si="64"/>
        <v>n.a.</v>
      </c>
      <c r="U63" s="209" t="str">
        <f t="shared" si="64"/>
        <v>n.a.</v>
      </c>
      <c r="V63" s="209" t="str">
        <f t="shared" si="64"/>
        <v>n.a.</v>
      </c>
    </row>
    <row r="64" spans="2:34">
      <c r="C64" s="200" t="s">
        <v>1</v>
      </c>
      <c r="D64" s="199"/>
      <c r="E64" s="202"/>
      <c r="F64" s="211">
        <f>F62/F$60</f>
        <v>0.10758752793444715</v>
      </c>
      <c r="G64" s="211">
        <f t="shared" ref="G64" si="65">G62/G$60</f>
        <v>0.10936411583242114</v>
      </c>
      <c r="H64" s="211">
        <f>H62/H$60</f>
        <v>0.11218795888399412</v>
      </c>
      <c r="I64" s="211">
        <f t="shared" ref="I64" si="66">I62/I$60</f>
        <v>9.9269406392694062E-2</v>
      </c>
      <c r="J64" s="211">
        <f t="shared" ref="J64:V64" si="67">J62/J$60</f>
        <v>9.6467271606025903E-2</v>
      </c>
      <c r="K64" s="211">
        <f t="shared" si="67"/>
        <v>8.6246267345863353E-2</v>
      </c>
      <c r="L64" s="211" t="e">
        <f t="shared" si="67"/>
        <v>#VALUE!</v>
      </c>
      <c r="M64" s="211" t="e">
        <f t="shared" si="67"/>
        <v>#VALUE!</v>
      </c>
      <c r="N64" s="211" t="e">
        <f t="shared" si="67"/>
        <v>#VALUE!</v>
      </c>
      <c r="O64" s="211" t="e">
        <f t="shared" si="67"/>
        <v>#VALUE!</v>
      </c>
      <c r="P64" s="211" t="e">
        <f t="shared" si="67"/>
        <v>#VALUE!</v>
      </c>
      <c r="Q64" s="211" t="e">
        <f t="shared" si="67"/>
        <v>#VALUE!</v>
      </c>
      <c r="R64" s="211" t="e">
        <f t="shared" si="67"/>
        <v>#VALUE!</v>
      </c>
      <c r="S64" s="211" t="e">
        <f t="shared" si="67"/>
        <v>#VALUE!</v>
      </c>
      <c r="T64" s="211" t="e">
        <f t="shared" si="67"/>
        <v>#VALUE!</v>
      </c>
      <c r="U64" s="211" t="e">
        <f t="shared" si="67"/>
        <v>#VALUE!</v>
      </c>
      <c r="V64" s="211" t="e">
        <f t="shared" si="67"/>
        <v>#VALUE!</v>
      </c>
    </row>
    <row r="65" spans="3:22">
      <c r="C65" s="199" t="s">
        <v>4</v>
      </c>
      <c r="D65" s="199"/>
      <c r="E65" s="202"/>
      <c r="F65" s="210">
        <f>+F68-F62</f>
        <v>-23.299999999999997</v>
      </c>
      <c r="G65" s="210">
        <f t="shared" ref="G65:V65" si="68">+G68-G62</f>
        <v>-25.300000000000011</v>
      </c>
      <c r="H65" s="210">
        <f t="shared" si="68"/>
        <v>-30.099999999999994</v>
      </c>
      <c r="I65" s="210">
        <f t="shared" si="68"/>
        <v>-31.600000000000009</v>
      </c>
      <c r="J65" s="210">
        <f t="shared" si="68"/>
        <v>-34.900000000000006</v>
      </c>
      <c r="K65" s="210">
        <f t="shared" si="68"/>
        <v>-36</v>
      </c>
      <c r="L65" s="210" t="e">
        <f t="shared" si="68"/>
        <v>#VALUE!</v>
      </c>
      <c r="M65" s="210" t="e">
        <f t="shared" si="68"/>
        <v>#VALUE!</v>
      </c>
      <c r="N65" s="210" t="e">
        <f t="shared" si="68"/>
        <v>#VALUE!</v>
      </c>
      <c r="O65" s="210" t="e">
        <f t="shared" si="68"/>
        <v>#VALUE!</v>
      </c>
      <c r="P65" s="210" t="e">
        <f t="shared" si="68"/>
        <v>#VALUE!</v>
      </c>
      <c r="Q65" s="210" t="e">
        <f t="shared" si="68"/>
        <v>#VALUE!</v>
      </c>
      <c r="R65" s="210" t="e">
        <f t="shared" si="68"/>
        <v>#VALUE!</v>
      </c>
      <c r="S65" s="210" t="e">
        <f t="shared" si="68"/>
        <v>#VALUE!</v>
      </c>
      <c r="T65" s="210" t="e">
        <f t="shared" si="68"/>
        <v>#VALUE!</v>
      </c>
      <c r="U65" s="210" t="e">
        <f t="shared" si="68"/>
        <v>#VALUE!</v>
      </c>
      <c r="V65" s="210" t="e">
        <f t="shared" si="68"/>
        <v>#VALUE!</v>
      </c>
    </row>
    <row r="66" spans="3:22">
      <c r="C66" s="200" t="s">
        <v>83</v>
      </c>
      <c r="D66" s="199"/>
      <c r="E66" s="202"/>
      <c r="F66" s="211">
        <f t="shared" ref="F66:V66" si="69">+F65/F60</f>
        <v>-2.4795147387464082E-2</v>
      </c>
      <c r="G66" s="211">
        <f t="shared" si="69"/>
        <v>-2.5176634490994141E-2</v>
      </c>
      <c r="H66" s="211">
        <f t="shared" si="69"/>
        <v>-2.9466470876162502E-2</v>
      </c>
      <c r="I66" s="211">
        <f t="shared" si="69"/>
        <v>-2.8858447488584484E-2</v>
      </c>
      <c r="J66" s="211">
        <f t="shared" si="69"/>
        <v>-3.0746189763016483E-2</v>
      </c>
      <c r="K66" s="211">
        <f t="shared" si="69"/>
        <v>-3.1617776216406115E-2</v>
      </c>
      <c r="L66" s="211" t="e">
        <f t="shared" si="69"/>
        <v>#VALUE!</v>
      </c>
      <c r="M66" s="211" t="e">
        <f t="shared" si="69"/>
        <v>#VALUE!</v>
      </c>
      <c r="N66" s="211" t="e">
        <f t="shared" si="69"/>
        <v>#VALUE!</v>
      </c>
      <c r="O66" s="211" t="e">
        <f t="shared" si="69"/>
        <v>#VALUE!</v>
      </c>
      <c r="P66" s="211" t="e">
        <f t="shared" si="69"/>
        <v>#VALUE!</v>
      </c>
      <c r="Q66" s="211" t="e">
        <f t="shared" si="69"/>
        <v>#VALUE!</v>
      </c>
      <c r="R66" s="211" t="e">
        <f t="shared" si="69"/>
        <v>#VALUE!</v>
      </c>
      <c r="S66" s="211" t="e">
        <f t="shared" si="69"/>
        <v>#VALUE!</v>
      </c>
      <c r="T66" s="211" t="e">
        <f t="shared" si="69"/>
        <v>#VALUE!</v>
      </c>
      <c r="U66" s="211" t="e">
        <f t="shared" si="69"/>
        <v>#VALUE!</v>
      </c>
      <c r="V66" s="211" t="e">
        <f t="shared" si="69"/>
        <v>#VALUE!</v>
      </c>
    </row>
    <row r="67" spans="3:22">
      <c r="C67" s="200" t="s">
        <v>37</v>
      </c>
      <c r="D67" s="199"/>
      <c r="E67" s="202"/>
      <c r="F67" s="211">
        <f t="shared" ref="F67:V67" si="70">+F65/F72</f>
        <v>0.76644736842105254</v>
      </c>
      <c r="G67" s="211">
        <f t="shared" si="70"/>
        <v>0.67466666666666697</v>
      </c>
      <c r="H67" s="211">
        <f t="shared" si="70"/>
        <v>0.74689826302729523</v>
      </c>
      <c r="I67" s="211">
        <f t="shared" si="70"/>
        <v>0.87534626038781183</v>
      </c>
      <c r="J67" s="211">
        <f t="shared" si="70"/>
        <v>0.93565683646112618</v>
      </c>
      <c r="K67" s="211">
        <f t="shared" si="70"/>
        <v>1.1612903225806452</v>
      </c>
      <c r="L67" s="211" t="e">
        <f t="shared" si="70"/>
        <v>#VALUE!</v>
      </c>
      <c r="M67" s="211" t="e">
        <f t="shared" si="70"/>
        <v>#VALUE!</v>
      </c>
      <c r="N67" s="211" t="e">
        <f t="shared" si="70"/>
        <v>#VALUE!</v>
      </c>
      <c r="O67" s="211" t="e">
        <f t="shared" si="70"/>
        <v>#VALUE!</v>
      </c>
      <c r="P67" s="211" t="e">
        <f t="shared" si="70"/>
        <v>#VALUE!</v>
      </c>
      <c r="Q67" s="211" t="e">
        <f t="shared" si="70"/>
        <v>#VALUE!</v>
      </c>
      <c r="R67" s="211" t="e">
        <f t="shared" si="70"/>
        <v>#VALUE!</v>
      </c>
      <c r="S67" s="211" t="e">
        <f t="shared" si="70"/>
        <v>#VALUE!</v>
      </c>
      <c r="T67" s="211" t="e">
        <f t="shared" si="70"/>
        <v>#VALUE!</v>
      </c>
      <c r="U67" s="211" t="e">
        <f t="shared" si="70"/>
        <v>#VALUE!</v>
      </c>
      <c r="V67" s="211" t="e">
        <f t="shared" si="70"/>
        <v>#VALUE!</v>
      </c>
    </row>
    <row r="68" spans="3:22">
      <c r="C68" s="203" t="s">
        <v>5</v>
      </c>
      <c r="D68" s="203"/>
      <c r="E68" s="203"/>
      <c r="F68" s="208">
        <f t="shared" ref="F68:V68" si="71">F25</f>
        <v>77.8</v>
      </c>
      <c r="G68" s="208">
        <f t="shared" si="71"/>
        <v>84.6</v>
      </c>
      <c r="H68" s="208">
        <f t="shared" si="71"/>
        <v>84.5</v>
      </c>
      <c r="I68" s="208">
        <f t="shared" si="71"/>
        <v>77.099999999999994</v>
      </c>
      <c r="J68" s="208">
        <f t="shared" si="71"/>
        <v>74.599999999999994</v>
      </c>
      <c r="K68" s="208">
        <f t="shared" si="71"/>
        <v>62.2</v>
      </c>
      <c r="L68" s="208" t="e">
        <f t="shared" si="71"/>
        <v>#VALUE!</v>
      </c>
      <c r="M68" s="208" t="e">
        <f t="shared" si="71"/>
        <v>#VALUE!</v>
      </c>
      <c r="N68" s="208" t="e">
        <f t="shared" si="71"/>
        <v>#VALUE!</v>
      </c>
      <c r="O68" s="208" t="e">
        <f t="shared" si="71"/>
        <v>#VALUE!</v>
      </c>
      <c r="P68" s="208" t="e">
        <f t="shared" si="71"/>
        <v>#VALUE!</v>
      </c>
      <c r="Q68" s="208" t="e">
        <f t="shared" si="71"/>
        <v>#VALUE!</v>
      </c>
      <c r="R68" s="208" t="e">
        <f t="shared" si="71"/>
        <v>#VALUE!</v>
      </c>
      <c r="S68" s="208" t="e">
        <f t="shared" si="71"/>
        <v>#VALUE!</v>
      </c>
      <c r="T68" s="208" t="e">
        <f t="shared" si="71"/>
        <v>#VALUE!</v>
      </c>
      <c r="U68" s="208" t="e">
        <f t="shared" si="71"/>
        <v>#VALUE!</v>
      </c>
      <c r="V68" s="208" t="e">
        <f t="shared" si="71"/>
        <v>#VALUE!</v>
      </c>
    </row>
    <row r="69" spans="3:22">
      <c r="C69" s="200" t="s">
        <v>0</v>
      </c>
      <c r="D69" s="199"/>
      <c r="E69" s="201"/>
      <c r="F69" s="211" t="str">
        <f t="shared" ref="F69" si="72">IF(ISERROR(F68/C68-1),"n.a.",F68/C68-1)</f>
        <v>n.a.</v>
      </c>
      <c r="G69" s="211">
        <f>IF(ISERROR(G68/F68-1),"n.a.",G68/F68-1)</f>
        <v>8.740359897172234E-2</v>
      </c>
      <c r="H69" s="211">
        <f>IF(ISERROR(H68/G68-1),"n.a.",H68/G68-1)</f>
        <v>-1.1820330969266601E-3</v>
      </c>
      <c r="I69" s="211">
        <f t="shared" ref="I69:V69" si="73">IF(ISERROR(I68/H68-1),"n.a.",I68/H68-1)</f>
        <v>-8.7573964497041468E-2</v>
      </c>
      <c r="J69" s="211">
        <f t="shared" si="73"/>
        <v>-3.2425421530479892E-2</v>
      </c>
      <c r="K69" s="211">
        <f t="shared" si="73"/>
        <v>-0.16621983914209104</v>
      </c>
      <c r="L69" s="211" t="str">
        <f t="shared" si="73"/>
        <v>n.a.</v>
      </c>
      <c r="M69" s="211" t="str">
        <f t="shared" si="73"/>
        <v>n.a.</v>
      </c>
      <c r="N69" s="211" t="str">
        <f t="shared" si="73"/>
        <v>n.a.</v>
      </c>
      <c r="O69" s="211" t="str">
        <f t="shared" si="73"/>
        <v>n.a.</v>
      </c>
      <c r="P69" s="211" t="str">
        <f t="shared" si="73"/>
        <v>n.a.</v>
      </c>
      <c r="Q69" s="211" t="str">
        <f t="shared" si="73"/>
        <v>n.a.</v>
      </c>
      <c r="R69" s="211" t="str">
        <f t="shared" si="73"/>
        <v>n.a.</v>
      </c>
      <c r="S69" s="211" t="str">
        <f t="shared" si="73"/>
        <v>n.a.</v>
      </c>
      <c r="T69" s="211" t="str">
        <f t="shared" si="73"/>
        <v>n.a.</v>
      </c>
      <c r="U69" s="211" t="str">
        <f t="shared" si="73"/>
        <v>n.a.</v>
      </c>
      <c r="V69" s="211" t="str">
        <f t="shared" si="73"/>
        <v>n.a.</v>
      </c>
    </row>
    <row r="70" spans="3:22">
      <c r="C70" s="200" t="s">
        <v>1</v>
      </c>
      <c r="D70" s="199"/>
      <c r="E70" s="202"/>
      <c r="F70" s="312">
        <f>F68/F$60</f>
        <v>8.2792380546983069E-2</v>
      </c>
      <c r="G70" s="312">
        <f t="shared" ref="G70" si="74">G68/G$60</f>
        <v>8.4187481341427006E-2</v>
      </c>
      <c r="H70" s="312">
        <f>H68/H$60</f>
        <v>8.272148800783162E-2</v>
      </c>
      <c r="I70" s="312">
        <f t="shared" ref="I70:V70" si="75">I68/I$60</f>
        <v>7.0410958904109588E-2</v>
      </c>
      <c r="J70" s="312">
        <f t="shared" si="75"/>
        <v>6.5721081843009427E-2</v>
      </c>
      <c r="K70" s="312">
        <f t="shared" si="75"/>
        <v>5.4628491129457238E-2</v>
      </c>
      <c r="L70" s="312" t="e">
        <f t="shared" si="75"/>
        <v>#VALUE!</v>
      </c>
      <c r="M70" s="312" t="e">
        <f t="shared" si="75"/>
        <v>#VALUE!</v>
      </c>
      <c r="N70" s="312" t="e">
        <f t="shared" si="75"/>
        <v>#VALUE!</v>
      </c>
      <c r="O70" s="312" t="e">
        <f t="shared" si="75"/>
        <v>#VALUE!</v>
      </c>
      <c r="P70" s="312" t="e">
        <f t="shared" si="75"/>
        <v>#VALUE!</v>
      </c>
      <c r="Q70" s="312" t="e">
        <f t="shared" si="75"/>
        <v>#VALUE!</v>
      </c>
      <c r="R70" s="312" t="e">
        <f t="shared" si="75"/>
        <v>#VALUE!</v>
      </c>
      <c r="S70" s="312" t="e">
        <f t="shared" si="75"/>
        <v>#VALUE!</v>
      </c>
      <c r="T70" s="312" t="e">
        <f t="shared" si="75"/>
        <v>#VALUE!</v>
      </c>
      <c r="U70" s="312" t="e">
        <f t="shared" si="75"/>
        <v>#VALUE!</v>
      </c>
      <c r="V70" s="312" t="e">
        <f t="shared" si="75"/>
        <v>#VALUE!</v>
      </c>
    </row>
    <row r="71" spans="3:22">
      <c r="C71" s="199" t="s">
        <v>3</v>
      </c>
      <c r="D71" s="199"/>
      <c r="E71" s="199"/>
      <c r="F71" s="210">
        <f t="shared" ref="F71:V71" si="76">F15</f>
        <v>101.1</v>
      </c>
      <c r="G71" s="210">
        <f t="shared" si="76"/>
        <v>109.9</v>
      </c>
      <c r="H71" s="210">
        <f t="shared" si="76"/>
        <v>114.6</v>
      </c>
      <c r="I71" s="210">
        <f t="shared" si="76"/>
        <v>108.7</v>
      </c>
      <c r="J71" s="210">
        <f t="shared" si="76"/>
        <v>109.5</v>
      </c>
      <c r="K71" s="210">
        <f t="shared" si="76"/>
        <v>98.2</v>
      </c>
      <c r="L71" s="210" t="e">
        <f t="shared" si="76"/>
        <v>#VALUE!</v>
      </c>
      <c r="M71" s="210" t="e">
        <f t="shared" si="76"/>
        <v>#VALUE!</v>
      </c>
      <c r="N71" s="210" t="e">
        <f t="shared" si="76"/>
        <v>#VALUE!</v>
      </c>
      <c r="O71" s="210" t="e">
        <f t="shared" si="76"/>
        <v>#VALUE!</v>
      </c>
      <c r="P71" s="210" t="e">
        <f t="shared" si="76"/>
        <v>#VALUE!</v>
      </c>
      <c r="Q71" s="210" t="e">
        <f t="shared" si="76"/>
        <v>#VALUE!</v>
      </c>
      <c r="R71" s="210" t="e">
        <f t="shared" si="76"/>
        <v>#VALUE!</v>
      </c>
      <c r="S71" s="210" t="e">
        <f t="shared" si="76"/>
        <v>#VALUE!</v>
      </c>
      <c r="T71" s="210" t="e">
        <f t="shared" si="76"/>
        <v>#VALUE!</v>
      </c>
      <c r="U71" s="210" t="e">
        <f t="shared" si="76"/>
        <v>#VALUE!</v>
      </c>
      <c r="V71" s="210" t="e">
        <f t="shared" si="76"/>
        <v>#VALUE!</v>
      </c>
    </row>
    <row r="72" spans="3:22">
      <c r="C72" s="203" t="s">
        <v>7</v>
      </c>
      <c r="D72" s="203"/>
      <c r="E72" s="204"/>
      <c r="F72" s="208">
        <f t="shared" ref="F72:V72" si="77">F40</f>
        <v>-30.4</v>
      </c>
      <c r="G72" s="208">
        <f t="shared" si="77"/>
        <v>-37.5</v>
      </c>
      <c r="H72" s="208">
        <f t="shared" si="77"/>
        <v>-40.299999999999997</v>
      </c>
      <c r="I72" s="208">
        <f t="shared" si="77"/>
        <v>-36.1</v>
      </c>
      <c r="J72" s="208">
        <f t="shared" si="77"/>
        <v>-37.299999999999997</v>
      </c>
      <c r="K72" s="208">
        <f t="shared" si="77"/>
        <v>-31</v>
      </c>
      <c r="L72" s="208">
        <f t="shared" si="77"/>
        <v>0</v>
      </c>
      <c r="M72" s="208">
        <f t="shared" si="77"/>
        <v>0</v>
      </c>
      <c r="N72" s="208">
        <f t="shared" si="77"/>
        <v>0</v>
      </c>
      <c r="O72" s="208">
        <f t="shared" si="77"/>
        <v>0</v>
      </c>
      <c r="P72" s="208">
        <f t="shared" si="77"/>
        <v>0</v>
      </c>
      <c r="Q72" s="208">
        <f t="shared" si="77"/>
        <v>0</v>
      </c>
      <c r="R72" s="208">
        <f t="shared" si="77"/>
        <v>0</v>
      </c>
      <c r="S72" s="208">
        <f t="shared" si="77"/>
        <v>0</v>
      </c>
      <c r="T72" s="208">
        <f t="shared" si="77"/>
        <v>0</v>
      </c>
      <c r="U72" s="208">
        <f t="shared" si="77"/>
        <v>0</v>
      </c>
      <c r="V72" s="208">
        <f t="shared" si="77"/>
        <v>0</v>
      </c>
    </row>
    <row r="73" spans="3:22">
      <c r="C73" s="200" t="s">
        <v>132</v>
      </c>
      <c r="D73" s="199"/>
      <c r="E73" s="201"/>
      <c r="F73" s="209">
        <f>IF(ISERROR(-F72/F$60),"n.a.",-F72/F$60)</f>
        <v>3.2350750239438113E-2</v>
      </c>
      <c r="G73" s="209">
        <f t="shared" ref="G73:V73" si="78">IF(ISERROR(-G72/G$60),"n.a.",-G72/G$60)</f>
        <v>3.7317145984675094E-2</v>
      </c>
      <c r="H73" s="209">
        <f t="shared" si="78"/>
        <v>3.9451786588350461E-2</v>
      </c>
      <c r="I73" s="209">
        <f t="shared" si="78"/>
        <v>3.2968036529680368E-2</v>
      </c>
      <c r="J73" s="209">
        <f t="shared" si="78"/>
        <v>3.2860540921504713E-2</v>
      </c>
      <c r="K73" s="209">
        <f t="shared" si="78"/>
        <v>2.7226418408571932E-2</v>
      </c>
      <c r="L73" s="209" t="str">
        <f t="shared" si="78"/>
        <v>n.a.</v>
      </c>
      <c r="M73" s="209" t="str">
        <f t="shared" si="78"/>
        <v>n.a.</v>
      </c>
      <c r="N73" s="209" t="str">
        <f t="shared" si="78"/>
        <v>n.a.</v>
      </c>
      <c r="O73" s="209" t="str">
        <f t="shared" si="78"/>
        <v>n.a.</v>
      </c>
      <c r="P73" s="209" t="str">
        <f t="shared" si="78"/>
        <v>n.a.</v>
      </c>
      <c r="Q73" s="209" t="str">
        <f t="shared" si="78"/>
        <v>n.a.</v>
      </c>
      <c r="R73" s="209" t="str">
        <f t="shared" si="78"/>
        <v>n.a.</v>
      </c>
      <c r="S73" s="209" t="str">
        <f t="shared" si="78"/>
        <v>n.a.</v>
      </c>
      <c r="T73" s="209" t="str">
        <f t="shared" si="78"/>
        <v>n.a.</v>
      </c>
      <c r="U73" s="209" t="str">
        <f t="shared" si="78"/>
        <v>n.a.</v>
      </c>
      <c r="V73" s="209" t="str">
        <f t="shared" si="78"/>
        <v>n.a.</v>
      </c>
    </row>
    <row r="74" spans="3:22">
      <c r="C74" s="199" t="s">
        <v>75</v>
      </c>
      <c r="D74" s="199"/>
      <c r="E74" s="201"/>
      <c r="F74" s="210">
        <f t="shared" ref="F74:V74" si="79">F45</f>
        <v>-5.3000000000000007</v>
      </c>
      <c r="G74" s="210">
        <f t="shared" si="79"/>
        <v>25.099999999999998</v>
      </c>
      <c r="H74" s="210">
        <f t="shared" si="79"/>
        <v>-11.2</v>
      </c>
      <c r="I74" s="210">
        <f t="shared" si="79"/>
        <v>-16.300000000000004</v>
      </c>
      <c r="J74" s="210">
        <f t="shared" si="79"/>
        <v>-12.6</v>
      </c>
      <c r="K74" s="210">
        <f t="shared" si="79"/>
        <v>-10.399999999999999</v>
      </c>
      <c r="L74" s="210">
        <f t="shared" si="79"/>
        <v>0</v>
      </c>
      <c r="M74" s="210">
        <f t="shared" si="79"/>
        <v>0</v>
      </c>
      <c r="N74" s="210">
        <f t="shared" si="79"/>
        <v>0</v>
      </c>
      <c r="O74" s="210">
        <f t="shared" si="79"/>
        <v>0</v>
      </c>
      <c r="P74" s="210">
        <f t="shared" si="79"/>
        <v>0</v>
      </c>
      <c r="Q74" s="210" t="e">
        <f t="shared" si="79"/>
        <v>#VALUE!</v>
      </c>
      <c r="R74" s="210" t="e">
        <f t="shared" si="79"/>
        <v>#VALUE!</v>
      </c>
      <c r="S74" s="210" t="e">
        <f t="shared" si="79"/>
        <v>#VALUE!</v>
      </c>
      <c r="T74" s="210" t="e">
        <f t="shared" si="79"/>
        <v>#VALUE!</v>
      </c>
      <c r="U74" s="210" t="e">
        <f t="shared" si="79"/>
        <v>#VALUE!</v>
      </c>
      <c r="V74" s="210" t="e">
        <f t="shared" si="79"/>
        <v>#VALUE!</v>
      </c>
    </row>
    <row r="75" spans="3:22">
      <c r="C75" s="200" t="s">
        <v>132</v>
      </c>
      <c r="D75" s="199"/>
      <c r="E75" s="201"/>
      <c r="F75" s="211">
        <f t="shared" ref="F75:V75" si="80">+F74/F60</f>
        <v>-5.6400979035862511E-3</v>
      </c>
      <c r="G75" s="211">
        <f t="shared" si="80"/>
        <v>2.4977609712409192E-2</v>
      </c>
      <c r="H75" s="211">
        <f t="shared" si="80"/>
        <v>-1.0964268232990699E-2</v>
      </c>
      <c r="I75" s="211">
        <f t="shared" si="80"/>
        <v>-1.4885844748858451E-2</v>
      </c>
      <c r="J75" s="211">
        <f t="shared" si="80"/>
        <v>-1.1100343582063256E-2</v>
      </c>
      <c r="K75" s="211">
        <f t="shared" si="80"/>
        <v>-9.1340242402950991E-3</v>
      </c>
      <c r="L75" s="211" t="e">
        <f t="shared" si="80"/>
        <v>#DIV/0!</v>
      </c>
      <c r="M75" s="211" t="e">
        <f t="shared" si="80"/>
        <v>#VALUE!</v>
      </c>
      <c r="N75" s="211" t="e">
        <f t="shared" si="80"/>
        <v>#VALUE!</v>
      </c>
      <c r="O75" s="211" t="e">
        <f t="shared" si="80"/>
        <v>#VALUE!</v>
      </c>
      <c r="P75" s="211" t="e">
        <f t="shared" si="80"/>
        <v>#VALUE!</v>
      </c>
      <c r="Q75" s="211" t="e">
        <f t="shared" si="80"/>
        <v>#VALUE!</v>
      </c>
      <c r="R75" s="211" t="e">
        <f t="shared" si="80"/>
        <v>#VALUE!</v>
      </c>
      <c r="S75" s="211" t="e">
        <f t="shared" si="80"/>
        <v>#VALUE!</v>
      </c>
      <c r="T75" s="211" t="e">
        <f t="shared" si="80"/>
        <v>#VALUE!</v>
      </c>
      <c r="U75" s="211" t="e">
        <f t="shared" si="80"/>
        <v>#VALUE!</v>
      </c>
      <c r="V75" s="211" t="e">
        <f t="shared" si="80"/>
        <v>#VALUE!</v>
      </c>
    </row>
    <row r="76" spans="3:22">
      <c r="C76" s="307" t="s">
        <v>127</v>
      </c>
      <c r="D76" s="199"/>
      <c r="E76" s="201"/>
      <c r="F76" s="210">
        <f t="shared" ref="F76:V76" si="81">+F49</f>
        <v>0</v>
      </c>
      <c r="G76" s="210">
        <f t="shared" si="81"/>
        <v>0</v>
      </c>
      <c r="H76" s="210">
        <f t="shared" si="81"/>
        <v>0</v>
      </c>
      <c r="I76" s="210">
        <f t="shared" si="81"/>
        <v>0</v>
      </c>
      <c r="J76" s="210">
        <f t="shared" si="81"/>
        <v>-1.5</v>
      </c>
      <c r="K76" s="210">
        <f t="shared" si="81"/>
        <v>0.74</v>
      </c>
      <c r="L76" s="210">
        <f t="shared" si="81"/>
        <v>0</v>
      </c>
      <c r="M76" s="210">
        <f t="shared" si="81"/>
        <v>0</v>
      </c>
      <c r="N76" s="210">
        <f t="shared" si="81"/>
        <v>0</v>
      </c>
      <c r="O76" s="210">
        <f t="shared" si="81"/>
        <v>0</v>
      </c>
      <c r="P76" s="210">
        <f t="shared" si="81"/>
        <v>0</v>
      </c>
      <c r="Q76" s="210">
        <f t="shared" si="81"/>
        <v>0</v>
      </c>
      <c r="R76" s="210">
        <f t="shared" si="81"/>
        <v>0</v>
      </c>
      <c r="S76" s="210">
        <f t="shared" si="81"/>
        <v>0</v>
      </c>
      <c r="T76" s="210">
        <f t="shared" si="81"/>
        <v>0</v>
      </c>
      <c r="U76" s="210">
        <f t="shared" si="81"/>
        <v>0</v>
      </c>
      <c r="V76" s="210">
        <f t="shared" si="81"/>
        <v>0</v>
      </c>
    </row>
    <row r="77" spans="3:22">
      <c r="C77" s="200" t="s">
        <v>132</v>
      </c>
      <c r="D77" s="199"/>
      <c r="E77" s="201"/>
      <c r="F77" s="209">
        <f>IF(ISERROR(-F76/F$60),"n.a.",-F76/F$60)</f>
        <v>0</v>
      </c>
      <c r="G77" s="209">
        <f t="shared" ref="G77:V77" si="82">IF(ISERROR(-G76/G$60),"n.a.",-G76/G$60)</f>
        <v>0</v>
      </c>
      <c r="H77" s="209">
        <f t="shared" si="82"/>
        <v>0</v>
      </c>
      <c r="I77" s="209">
        <f t="shared" si="82"/>
        <v>0</v>
      </c>
      <c r="J77" s="209">
        <f t="shared" si="82"/>
        <v>1.3214694740551493E-3</v>
      </c>
      <c r="K77" s="209">
        <f t="shared" si="82"/>
        <v>-6.4992095555945904E-4</v>
      </c>
      <c r="L77" s="209" t="str">
        <f t="shared" si="82"/>
        <v>n.a.</v>
      </c>
      <c r="M77" s="209" t="str">
        <f t="shared" si="82"/>
        <v>n.a.</v>
      </c>
      <c r="N77" s="209" t="str">
        <f t="shared" si="82"/>
        <v>n.a.</v>
      </c>
      <c r="O77" s="209" t="str">
        <f t="shared" si="82"/>
        <v>n.a.</v>
      </c>
      <c r="P77" s="209" t="str">
        <f t="shared" si="82"/>
        <v>n.a.</v>
      </c>
      <c r="Q77" s="209" t="str">
        <f t="shared" si="82"/>
        <v>n.a.</v>
      </c>
      <c r="R77" s="209" t="str">
        <f t="shared" si="82"/>
        <v>n.a.</v>
      </c>
      <c r="S77" s="209" t="str">
        <f t="shared" si="82"/>
        <v>n.a.</v>
      </c>
      <c r="T77" s="209" t="str">
        <f t="shared" si="82"/>
        <v>n.a.</v>
      </c>
      <c r="U77" s="209" t="str">
        <f t="shared" si="82"/>
        <v>n.a.</v>
      </c>
      <c r="V77" s="209" t="str">
        <f t="shared" si="82"/>
        <v>n.a.</v>
      </c>
    </row>
    <row r="78" spans="3:22">
      <c r="C78" s="307" t="s">
        <v>128</v>
      </c>
      <c r="D78" s="199"/>
      <c r="E78" s="201"/>
      <c r="F78" s="210">
        <f t="shared" ref="F78:V78" si="83">+F53</f>
        <v>0</v>
      </c>
      <c r="G78" s="210">
        <f t="shared" si="83"/>
        <v>0</v>
      </c>
      <c r="H78" s="210">
        <f t="shared" si="83"/>
        <v>0</v>
      </c>
      <c r="I78" s="210">
        <f t="shared" si="83"/>
        <v>0</v>
      </c>
      <c r="J78" s="210">
        <f t="shared" si="83"/>
        <v>0</v>
      </c>
      <c r="K78" s="210">
        <f t="shared" si="83"/>
        <v>0</v>
      </c>
      <c r="L78" s="210">
        <f t="shared" si="83"/>
        <v>0</v>
      </c>
      <c r="M78" s="210">
        <f t="shared" si="83"/>
        <v>0</v>
      </c>
      <c r="N78" s="210">
        <f t="shared" si="83"/>
        <v>0</v>
      </c>
      <c r="O78" s="210">
        <f t="shared" si="83"/>
        <v>0</v>
      </c>
      <c r="P78" s="210">
        <f t="shared" si="83"/>
        <v>0</v>
      </c>
      <c r="Q78" s="210">
        <f t="shared" si="83"/>
        <v>0</v>
      </c>
      <c r="R78" s="210">
        <f t="shared" si="83"/>
        <v>0</v>
      </c>
      <c r="S78" s="210">
        <f t="shared" si="83"/>
        <v>0</v>
      </c>
      <c r="T78" s="210">
        <f t="shared" si="83"/>
        <v>0</v>
      </c>
      <c r="U78" s="210">
        <f t="shared" si="83"/>
        <v>0</v>
      </c>
      <c r="V78" s="210">
        <f t="shared" si="83"/>
        <v>0</v>
      </c>
    </row>
    <row r="79" spans="3:22">
      <c r="C79" s="314" t="s">
        <v>132</v>
      </c>
      <c r="D79" s="315"/>
      <c r="E79" s="316"/>
      <c r="F79" s="317">
        <f>IF(ISERROR(-F78/F$60),"n.a.",-F78/F$60)</f>
        <v>0</v>
      </c>
      <c r="G79" s="317">
        <f t="shared" ref="G79:V79" si="84">IF(ISERROR(-G78/G$60),"n.a.",-G78/G$60)</f>
        <v>0</v>
      </c>
      <c r="H79" s="317">
        <f t="shared" si="84"/>
        <v>0</v>
      </c>
      <c r="I79" s="317">
        <f t="shared" si="84"/>
        <v>0</v>
      </c>
      <c r="J79" s="317">
        <f t="shared" si="84"/>
        <v>0</v>
      </c>
      <c r="K79" s="317">
        <f t="shared" si="84"/>
        <v>0</v>
      </c>
      <c r="L79" s="317" t="str">
        <f t="shared" si="84"/>
        <v>n.a.</v>
      </c>
      <c r="M79" s="317" t="str">
        <f t="shared" si="84"/>
        <v>n.a.</v>
      </c>
      <c r="N79" s="317" t="str">
        <f t="shared" si="84"/>
        <v>n.a.</v>
      </c>
      <c r="O79" s="317" t="str">
        <f t="shared" si="84"/>
        <v>n.a.</v>
      </c>
      <c r="P79" s="317" t="str">
        <f t="shared" si="84"/>
        <v>n.a.</v>
      </c>
      <c r="Q79" s="317" t="str">
        <f t="shared" si="84"/>
        <v>n.a.</v>
      </c>
      <c r="R79" s="317" t="str">
        <f t="shared" si="84"/>
        <v>n.a.</v>
      </c>
      <c r="S79" s="317" t="str">
        <f t="shared" si="84"/>
        <v>n.a.</v>
      </c>
      <c r="T79" s="317" t="str">
        <f t="shared" si="84"/>
        <v>n.a.</v>
      </c>
      <c r="U79" s="317" t="str">
        <f t="shared" si="84"/>
        <v>n.a.</v>
      </c>
      <c r="V79" s="317" t="str">
        <f t="shared" si="84"/>
        <v>n.a.</v>
      </c>
    </row>
    <row r="80" spans="3:22" ht="4.5" customHeight="1">
      <c r="C80" s="39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5" spans="12:12">
      <c r="L85" s="212"/>
    </row>
    <row r="92" spans="12:12">
      <c r="L92" s="212"/>
    </row>
  </sheetData>
  <pageMargins left="0.70866141732283472" right="0.70866141732283472" top="0.74803149606299213" bottom="0.74803149606299213" header="0.31496062992125984" footer="0.31496062992125984"/>
  <pageSetup paperSize="9" scale="24" fitToHeight="3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39997558519241921"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min="1" max="1" width="3" customWidth="1"/>
    <col min="2" max="3" width="0.5" customWidth="1"/>
    <col min="4" max="4" width="11.33203125" customWidth="1"/>
    <col min="5" max="20" width="14.33203125" customWidth="1"/>
    <col min="21" max="21" width="2.83203125" customWidth="1"/>
  </cols>
  <sheetData>
    <row r="2" spans="4:21" s="7" customFormat="1" ht="12" customHeight="1">
      <c r="D2" s="34"/>
    </row>
    <row r="3" spans="4:21" ht="20">
      <c r="D3" s="144" t="s">
        <v>29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</row>
    <row r="4" spans="4:21" s="7" customFormat="1" ht="4.5" customHeight="1"/>
    <row r="5" spans="4:21">
      <c r="D5" s="46" t="s">
        <v>30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</row>
    <row r="6" spans="4:21" ht="4.5" customHeight="1"/>
    <row r="7" spans="4:21" ht="12.75" customHeight="1">
      <c r="D7" t="s">
        <v>9</v>
      </c>
      <c r="F7" s="111">
        <f>Assumptions!D12</f>
        <v>46112</v>
      </c>
      <c r="S7" s="303"/>
      <c r="T7" s="303"/>
    </row>
    <row r="8" spans="4:21" ht="12.75" customHeight="1">
      <c r="D8" t="s">
        <v>31</v>
      </c>
      <c r="F8" s="112">
        <f>EDATE(F7,12)</f>
        <v>46477</v>
      </c>
      <c r="S8" s="303"/>
      <c r="T8" s="303"/>
    </row>
    <row r="9" spans="4:21" ht="12.75" customHeight="1">
      <c r="D9" t="s">
        <v>32</v>
      </c>
      <c r="F9" s="328">
        <f>Assumptions!$D$34</f>
      </c>
      <c r="H9" s="330" t="s">
        <v>152</v>
      </c>
      <c r="I9" s="330"/>
      <c r="J9" s="330"/>
      <c r="K9" s="330"/>
      <c r="S9" s="303"/>
      <c r="T9" s="303"/>
    </row>
    <row r="10" spans="4:21" ht="12.75" customHeight="1">
      <c r="D10" t="s">
        <v>33</v>
      </c>
      <c r="F10" s="329">
        <f>Assumptions!$D$35</f>
      </c>
      <c r="S10" s="303"/>
      <c r="T10" s="303"/>
    </row>
    <row r="11" spans="4:21" ht="12.75" customHeight="1">
      <c r="D11" t="s">
        <v>34</v>
      </c>
      <c r="F11" s="328">
        <f>Assumptions!$D$33</f>
      </c>
    </row>
    <row r="12" spans="4:21" ht="12.75" customHeight="1">
      <c r="F12" s="52"/>
    </row>
    <row r="13" spans="4:21" ht="12.75" customHeight="1">
      <c r="H13" s="330" t="s">
        <v>153</v>
      </c>
      <c r="I13" s="330"/>
      <c r="J13" s="330"/>
      <c r="K13" s="330"/>
      <c r="L13" s="345" t="s">
        <v>159</v>
      </c>
      <c r="M13" s="345"/>
      <c r="N13" s="345"/>
      <c r="O13" s="345"/>
      <c r="P13" s="345"/>
      <c r="Q13" s="354" t="s">
        <v>163</v>
      </c>
    </row>
    <row r="14" spans="4:21" ht="12.75" customHeight="1">
      <c r="D14" s="42" t="s">
        <v>36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</row>
    <row r="15" spans="4:21" ht="4.5" customHeight="1"/>
    <row r="16" spans="4:21" s="28" customFormat="1"/>
    <row r="17" spans="3:21" s="28" customFormat="1">
      <c r="C17" s="28" t="s">
        <v>63</v>
      </c>
      <c r="G17" s="122">
        <f>G22-$F$7</f>
        <v>-2557</v>
      </c>
      <c r="H17" s="122">
        <f t="shared" ref="H17:R17" si="0">H22-$F$7</f>
        <v>-2191</v>
      </c>
      <c r="I17" s="122">
        <f t="shared" si="0"/>
        <v>-1826</v>
      </c>
      <c r="J17" s="122">
        <f t="shared" si="0"/>
        <v>-1461</v>
      </c>
      <c r="K17" s="122">
        <f t="shared" si="0"/>
        <v>-1096</v>
      </c>
      <c r="L17" s="122">
        <f t="shared" si="0"/>
        <v>-730</v>
      </c>
      <c r="M17" s="122">
        <f t="shared" si="0"/>
        <v>-365</v>
      </c>
      <c r="N17" s="122">
        <f t="shared" si="0"/>
        <v>0</v>
      </c>
      <c r="O17" s="122">
        <f t="shared" si="0"/>
        <v>365</v>
      </c>
      <c r="P17" s="122">
        <f t="shared" si="0"/>
        <v>731</v>
      </c>
      <c r="Q17" s="122">
        <f t="shared" si="0"/>
        <v>1096</v>
      </c>
      <c r="R17" s="122">
        <f t="shared" si="0"/>
        <v>1461</v>
      </c>
      <c r="S17" s="122">
        <f t="shared" ref="S17" si="1">S22-$F$7</f>
        <v>1826</v>
      </c>
      <c r="T17" s="122"/>
      <c r="U17" s="105"/>
    </row>
    <row r="18" spans="3:21" s="28" customFormat="1">
      <c r="C18" s="28" t="s">
        <v>70</v>
      </c>
      <c r="G18" s="105">
        <f>IF(G17&lt;0,100%,IF(G17&gt;365.25,0,1-((G22-$F$7)/365.25)))</f>
        <v>1</v>
      </c>
      <c r="H18" s="105">
        <f t="shared" ref="H18:R18" si="2">IF(H17&lt;0,100%,IF(H17&gt;365.25,0,1-((H22-$F$7)/365.25)))</f>
        <v>1</v>
      </c>
      <c r="I18" s="105">
        <f t="shared" si="2"/>
        <v>1</v>
      </c>
      <c r="J18" s="308">
        <f t="shared" si="2"/>
        <v>1</v>
      </c>
      <c r="K18" s="105">
        <f t="shared" si="2"/>
        <v>1</v>
      </c>
      <c r="L18" s="105">
        <f t="shared" si="2"/>
        <v>1</v>
      </c>
      <c r="M18" s="105">
        <f t="shared" si="2"/>
        <v>1</v>
      </c>
      <c r="N18" s="105">
        <f t="shared" si="2"/>
        <v>1</v>
      </c>
      <c r="O18" s="105">
        <f t="shared" si="2"/>
        <v>6.8446269678301697E-4</v>
      </c>
      <c r="P18" s="105">
        <f t="shared" si="2"/>
        <v>0</v>
      </c>
      <c r="Q18" s="105">
        <f t="shared" si="2"/>
        <v>0</v>
      </c>
      <c r="R18" s="105">
        <f t="shared" si="2"/>
        <v>0</v>
      </c>
      <c r="S18" s="105">
        <f t="shared" ref="S18" si="3">IF(S17&lt;0,100%,IF(S17&gt;365.25,0,1-((S22-$F$7)/365.25)))</f>
        <v>0</v>
      </c>
      <c r="T18" s="105"/>
      <c r="U18" s="105"/>
    </row>
    <row r="19" spans="3:21" s="28" customFormat="1"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</row>
    <row r="20" spans="3:21">
      <c r="D20" s="7"/>
      <c r="F20" s="244" t="s">
        <v>76</v>
      </c>
      <c r="G20" s="244"/>
      <c r="H20" s="244"/>
      <c r="I20" s="101" t="s">
        <v>19</v>
      </c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87"/>
    </row>
    <row r="21" spans="3:21" ht="4.5" customHeight="1"/>
    <row r="22" spans="3:21" ht="12.75" customHeight="1">
      <c r="D22" s="36" t="str">
        <f>TEXT(Assumptions!$D$11,"mmmm")&amp;" YE ($mm)"</f>
        <v>March YE ($mm)</v>
      </c>
      <c r="E22" s="36"/>
      <c r="F22" s="43">
        <f>' Financials'!I58</f>
        <v>43190</v>
      </c>
      <c r="G22" s="43">
        <f>' Financials'!J58</f>
        <v>43555</v>
      </c>
      <c r="H22" s="249">
        <f>' Financials'!K58</f>
        <v>43921</v>
      </c>
      <c r="I22" s="37">
        <f>' Financials'!L58</f>
        <v>44286</v>
      </c>
      <c r="J22" s="37">
        <f>' Financials'!M58</f>
        <v>44651</v>
      </c>
      <c r="K22" s="37">
        <f>' Financials'!N58</f>
        <v>45016</v>
      </c>
      <c r="L22" s="37">
        <f>' Financials'!O58</f>
        <v>45382</v>
      </c>
      <c r="M22" s="37">
        <f>' Financials'!P58</f>
        <v>45747</v>
      </c>
      <c r="N22" s="37">
        <f>' Financials'!Q58</f>
        <v>46112</v>
      </c>
      <c r="O22" s="37">
        <f>' Financials'!R58</f>
        <v>46477</v>
      </c>
      <c r="P22" s="37">
        <f>' Financials'!S58</f>
        <v>46843</v>
      </c>
      <c r="Q22" s="37">
        <f>' Financials'!T58</f>
        <v>47208</v>
      </c>
      <c r="R22" s="37">
        <f>' Financials'!U58</f>
        <v>47573</v>
      </c>
      <c r="S22" s="37">
        <f>' Financials'!V58</f>
        <v>47938</v>
      </c>
      <c r="T22" s="37"/>
      <c r="U22" s="13"/>
    </row>
    <row r="23" spans="3:21" s="53" customFormat="1">
      <c r="C23"/>
      <c r="D23"/>
      <c r="E23"/>
      <c r="F23"/>
      <c r="G23"/>
      <c r="H23" s="72"/>
      <c r="I23"/>
      <c r="J23"/>
      <c r="K23"/>
      <c r="L23"/>
      <c r="M23"/>
      <c r="N23"/>
      <c r="O23"/>
      <c r="P23"/>
      <c r="Q23"/>
    </row>
    <row r="24" spans="3:21">
      <c r="D24" t="s">
        <v>2</v>
      </c>
      <c r="F24" s="331"/>
      <c r="G24" s="331"/>
      <c r="H24" s="332"/>
      <c r="I24" s="331">
        <v>1149.23</v>
      </c>
      <c r="J24" s="331">
        <v>1255.63</v>
      </c>
      <c r="K24" s="331">
        <v>1353.84</v>
      </c>
      <c r="L24" s="331">
        <v>1446.98</v>
      </c>
      <c r="M24" s="331">
        <v>1442.62</v>
      </c>
      <c r="N24" s="331">
        <f>M24*(1+N25)</f>
      </c>
      <c r="O24" s="331">
        <f>N24*(1+O25)</f>
      </c>
      <c r="P24" s="331">
        <f>O24*(1+P25)</f>
      </c>
      <c r="Q24" s="331">
        <f>P24*(1+Q25)</f>
      </c>
      <c r="R24" s="331">
        <f>Q24*(1+R25)</f>
      </c>
      <c r="S24" s="331">
        <f>R24*(1+S25)</f>
      </c>
      <c r="T24" s="129"/>
    </row>
    <row r="25" spans="3:21">
      <c r="C25" s="53"/>
      <c r="D25" s="53" t="s">
        <v>0</v>
      </c>
      <c r="E25" s="53"/>
      <c r="F25" s="341"/>
      <c r="G25" s="342"/>
      <c r="H25" s="343"/>
      <c r="I25" s="344">
        <v>0</v>
      </c>
      <c r="J25" s="344">
        <v>0</v>
      </c>
      <c r="K25" s="344">
        <v>0</v>
      </c>
      <c r="L25" s="344">
        <v>0</v>
      </c>
      <c r="M25" s="344">
        <v>0</v>
      </c>
      <c r="N25" s="344">
        <f>Assumptions!$D$27</f>
      </c>
      <c r="O25" s="344">
        <f>Assumptions!$D$27</f>
      </c>
      <c r="P25" s="344">
        <f>Assumptions!$D$27</f>
      </c>
      <c r="Q25" s="344">
        <f>Assumptions!$D$27</f>
      </c>
      <c r="R25" s="344">
        <f>Assumptions!$D$27</f>
      </c>
      <c r="S25" s="344">
        <f>Assumptions!$D$27</f>
      </c>
      <c r="T25" s="54"/>
    </row>
    <row r="26" spans="3:21" s="53" customFormat="1">
      <c r="C26"/>
      <c r="D26"/>
      <c r="E26"/>
      <c r="F26"/>
      <c r="G26"/>
      <c r="H26" s="72"/>
      <c r="I26"/>
      <c r="J26"/>
      <c r="K26"/>
      <c r="L26"/>
      <c r="M26"/>
      <c r="N26"/>
      <c r="O26"/>
      <c r="P26"/>
      <c r="Q26"/>
      <c r="R26"/>
      <c r="S26"/>
      <c r="T26"/>
    </row>
    <row r="27" spans="3:21" s="53" customFormat="1">
      <c r="C27"/>
      <c r="D27" t="s">
        <v>3</v>
      </c>
      <c r="E27"/>
      <c r="F27" s="331"/>
      <c r="G27" s="331"/>
      <c r="H27" s="332"/>
      <c r="I27" s="331">
        <v>94.15</v>
      </c>
      <c r="J27" s="331">
        <v>92.62</v>
      </c>
      <c r="K27" s="331">
        <v>111.8</v>
      </c>
      <c r="L27" s="331">
        <v>124.4</v>
      </c>
      <c r="M27" s="331">
        <v>127.57</v>
      </c>
      <c r="N27" s="331">
        <f>N24*N28</f>
      </c>
      <c r="O27" s="331">
        <f>O24*O28</f>
      </c>
      <c r="P27" s="331">
        <f>P24*P28</f>
      </c>
      <c r="Q27" s="331">
        <f>Q24*Q28</f>
      </c>
      <c r="R27" s="331">
        <f>R24*R28</f>
      </c>
      <c r="S27" s="331">
        <f>S24*S28</f>
      </c>
      <c r="T27" s="129"/>
    </row>
    <row r="28" spans="3:21">
      <c r="C28" s="53"/>
      <c r="D28" s="53" t="s">
        <v>1</v>
      </c>
      <c r="E28" s="53"/>
      <c r="F28" s="344"/>
      <c r="G28" s="344"/>
      <c r="H28" s="346"/>
      <c r="I28" s="344">
        <v>0.0819244189587811</v>
      </c>
      <c r="J28" s="344">
        <v>0.07376376798897764</v>
      </c>
      <c r="K28" s="344">
        <v>0.08257992081782191</v>
      </c>
      <c r="L28" s="344">
        <v>0.08597216271130216</v>
      </c>
      <c r="M28" s="344">
        <v>0.08842938542374291</v>
      </c>
      <c r="N28" s="344">
        <f>Assumptions!$D$28</f>
      </c>
      <c r="O28" s="344">
        <f>Assumptions!$D$28</f>
      </c>
      <c r="P28" s="344">
        <f>Assumptions!$D$28</f>
      </c>
      <c r="Q28" s="344">
        <f>Assumptions!$D$28</f>
      </c>
      <c r="R28" s="344">
        <f>Assumptions!$D$28</f>
      </c>
      <c r="S28" s="344">
        <f>Assumptions!$D$28</f>
      </c>
      <c r="T28" s="54"/>
    </row>
    <row r="29" spans="3:21">
      <c r="C29" s="53"/>
      <c r="D29" s="53" t="s">
        <v>0</v>
      </c>
      <c r="E29" s="53"/>
      <c r="F29" s="341"/>
      <c r="G29" s="342"/>
      <c r="H29" s="343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54"/>
    </row>
    <row r="30" spans="3:21" s="53" customFormat="1">
      <c r="C30"/>
      <c r="D30"/>
      <c r="E30"/>
      <c r="F30"/>
      <c r="G30"/>
      <c r="H30" s="72"/>
      <c r="I30"/>
      <c r="J30"/>
      <c r="K30"/>
      <c r="L30"/>
      <c r="M30"/>
      <c r="N30"/>
      <c r="O30"/>
      <c r="P30"/>
      <c r="Q30"/>
      <c r="R30"/>
      <c r="S30"/>
      <c r="T30"/>
    </row>
    <row r="31" spans="3:21" s="53" customFormat="1">
      <c r="C31"/>
      <c r="D31" t="s">
        <v>4</v>
      </c>
      <c r="E31"/>
      <c r="F31" s="331"/>
      <c r="G31" s="331"/>
      <c r="H31" s="332"/>
      <c r="I31" s="331">
        <v>-36.13</v>
      </c>
      <c r="J31" s="331">
        <v>-40.46</v>
      </c>
      <c r="K31" s="331">
        <v>-47.2</v>
      </c>
      <c r="L31" s="331">
        <v>-51.83</v>
      </c>
      <c r="M31" s="331">
        <v>-54.8</v>
      </c>
      <c r="N31" s="331">
        <f>-N24*Assumptions!$D$29</f>
      </c>
      <c r="O31" s="331">
        <f>-O24*Assumptions!$D$29</f>
      </c>
      <c r="P31" s="331">
        <f>-P24*Assumptions!$D$29</f>
      </c>
      <c r="Q31" s="331">
        <f>-Q24*Assumptions!$D$29</f>
      </c>
      <c r="R31" s="331">
        <f>-R24*Assumptions!$D$29</f>
      </c>
      <c r="S31" s="331">
        <f>-S24*Assumptions!$D$29</f>
      </c>
      <c r="T31" s="129"/>
    </row>
    <row r="32" spans="3:21">
      <c r="C32" s="53"/>
      <c r="D32" s="53" t="s">
        <v>24</v>
      </c>
      <c r="E32" s="53"/>
      <c r="F32" s="344"/>
      <c r="G32" s="344"/>
      <c r="H32" s="346"/>
      <c r="I32" s="344">
        <v>0.03143844139119237</v>
      </c>
      <c r="J32" s="344">
        <v>0.0322228682016199</v>
      </c>
      <c r="K32" s="344">
        <v>0.034863794835431075</v>
      </c>
      <c r="L32" s="344">
        <v>0.035819430814524045</v>
      </c>
      <c r="M32" s="344">
        <v>0.03798644133590273</v>
      </c>
      <c r="N32" s="344">
        <f>Assumptions!$D$29</f>
      </c>
      <c r="O32" s="344">
        <f>Assumptions!$D$29</f>
      </c>
      <c r="P32" s="344">
        <f>Assumptions!$D$29</f>
      </c>
      <c r="Q32" s="344">
        <f>Assumptions!$D$29</f>
      </c>
      <c r="R32" s="344">
        <f>Assumptions!$D$29</f>
      </c>
      <c r="S32" s="344">
        <f>Assumptions!$D$29</f>
      </c>
      <c r="T32" s="54"/>
    </row>
    <row r="33" spans="3:20">
      <c r="C33" s="53"/>
      <c r="D33" s="53" t="s">
        <v>37</v>
      </c>
      <c r="E33" s="53"/>
      <c r="F33" s="340"/>
      <c r="G33" s="340"/>
      <c r="H33" s="347"/>
      <c r="I33" s="340">
        <v>1.0036111111111112</v>
      </c>
      <c r="J33" s="340">
        <v>0.7933333333333333</v>
      </c>
      <c r="K33" s="340">
        <v>0.9440000000000001</v>
      </c>
      <c r="L33" s="340">
        <v>1.0366</v>
      </c>
      <c r="M33" s="340">
        <v>1.0959999999999999</v>
      </c>
      <c r="N33" s="340"/>
      <c r="O33" s="340"/>
      <c r="P33" s="340"/>
      <c r="Q33" s="340"/>
      <c r="R33" s="340"/>
      <c r="S33" s="340"/>
      <c r="T33" s="54"/>
    </row>
    <row r="34" spans="3:20" s="53" customFormat="1">
      <c r="C34"/>
      <c r="D34"/>
      <c r="E34"/>
      <c r="F34"/>
      <c r="G34"/>
      <c r="H34" s="72"/>
      <c r="I34"/>
      <c r="J34"/>
      <c r="K34"/>
      <c r="L34"/>
      <c r="M34"/>
      <c r="N34"/>
      <c r="O34"/>
      <c r="P34"/>
      <c r="Q34"/>
      <c r="R34"/>
      <c r="S34"/>
      <c r="T34"/>
    </row>
    <row r="35" spans="3:20" s="53" customFormat="1">
      <c r="C35"/>
      <c r="D35" t="s">
        <v>5</v>
      </c>
      <c r="E35"/>
      <c r="F35" s="40">
        <f>F27+F31</f>
        <v>0</v>
      </c>
      <c r="G35" s="40">
        <f t="shared" ref="G35:H35" si="4">G27+G31</f>
        <v>0</v>
      </c>
      <c r="H35" s="245">
        <f t="shared" si="4"/>
        <v>0</v>
      </c>
      <c r="I35" s="40">
        <v>58.02</v>
      </c>
      <c r="J35" s="40">
        <v>52.160000000000004</v>
      </c>
      <c r="K35" s="40">
        <v>64.6</v>
      </c>
      <c r="L35" s="40">
        <v>72.57000000000001</v>
      </c>
      <c r="M35" s="40">
        <v>72.77</v>
      </c>
      <c r="N35" s="40">
        <f>N27+N31</f>
      </c>
      <c r="O35" s="40">
        <f>O27+O31</f>
      </c>
      <c r="P35" s="40">
        <f>P27+P31</f>
      </c>
      <c r="Q35" s="40">
        <f>Q27+Q31</f>
      </c>
      <c r="R35" s="40">
        <f>R27+R31</f>
      </c>
      <c r="S35" s="40">
        <f>S27+S31</f>
      </c>
      <c r="T35" s="40"/>
    </row>
    <row r="36" spans="3:20">
      <c r="C36" s="53"/>
      <c r="D36" s="53" t="s">
        <v>1</v>
      </c>
      <c r="E36" s="53"/>
      <c r="F36" s="344"/>
      <c r="G36" s="344"/>
      <c r="H36" s="346"/>
      <c r="I36" s="344">
        <v>0.050485977567588734</v>
      </c>
      <c r="J36" s="344">
        <v>0.04154089978735774</v>
      </c>
      <c r="K36" s="344">
        <v>0.04771612598239083</v>
      </c>
      <c r="L36" s="344">
        <v>0.05015273189677812</v>
      </c>
      <c r="M36" s="344">
        <v>0.05044294408784018</v>
      </c>
      <c r="N36" s="344">
        <f>N35/N24</f>
      </c>
      <c r="O36" s="344">
        <f>O35/O24</f>
      </c>
      <c r="P36" s="344">
        <f>P35/P24</f>
      </c>
      <c r="Q36" s="344">
        <f>Q35/Q24</f>
      </c>
      <c r="R36" s="344">
        <f>R35/R24</f>
      </c>
      <c r="S36" s="344">
        <f>S35/S24</f>
      </c>
      <c r="T36" s="54"/>
    </row>
    <row r="37" spans="3:20">
      <c r="C37" s="53"/>
      <c r="D37" s="53" t="s">
        <v>0</v>
      </c>
      <c r="E37" s="53"/>
      <c r="F37" s="341"/>
      <c r="G37" s="342"/>
      <c r="H37" s="343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54"/>
    </row>
    <row r="38" spans="3:20" s="53" customFormat="1">
      <c r="C38"/>
      <c r="D38"/>
      <c r="E38"/>
      <c r="F38"/>
      <c r="G38"/>
      <c r="H38" s="72"/>
      <c r="I38"/>
      <c r="J38"/>
      <c r="K38"/>
      <c r="L38"/>
      <c r="M38"/>
      <c r="N38"/>
      <c r="O38"/>
      <c r="P38"/>
      <c r="Q38"/>
      <c r="R38"/>
      <c r="S38"/>
      <c r="T38"/>
    </row>
    <row r="39" spans="3:20">
      <c r="D39" t="s">
        <v>10</v>
      </c>
      <c r="F39" s="2"/>
      <c r="G39" s="2"/>
      <c r="H39" s="246"/>
      <c r="I39" s="348">
        <v>-11.023800000000001</v>
      </c>
      <c r="J39" s="348">
        <v>-9.910400000000001</v>
      </c>
      <c r="K39" s="348">
        <v>-12.274</v>
      </c>
      <c r="L39" s="348">
        <v>-13.788300000000001</v>
      </c>
      <c r="M39" s="348">
        <v>-13.8263</v>
      </c>
      <c r="N39" s="348">
        <f>-N35*N40</f>
      </c>
      <c r="O39" s="348">
        <f>-O35*O40</f>
      </c>
      <c r="P39" s="348">
        <f>-P35*P40</f>
      </c>
      <c r="Q39" s="348">
        <f>-Q35*Q40</f>
      </c>
      <c r="R39" s="348">
        <f>-R35*R40</f>
      </c>
      <c r="S39" s="348">
        <f>-S35*S40</f>
      </c>
      <c r="T39" s="348" t="s">
        <v>160</v>
      </c>
    </row>
    <row r="40" spans="3:20">
      <c r="C40" s="53"/>
      <c r="D40" s="53" t="s">
        <v>6</v>
      </c>
      <c r="E40" s="53"/>
      <c r="F40" s="113"/>
      <c r="G40" s="113"/>
      <c r="H40" s="247"/>
      <c r="I40" s="333">
        <v>0.19</v>
      </c>
      <c r="J40" s="333">
        <v>0.19</v>
      </c>
      <c r="K40" s="333">
        <v>0.19</v>
      </c>
      <c r="L40" s="333">
        <v>0.19</v>
      </c>
      <c r="M40" s="333">
        <v>0.19</v>
      </c>
      <c r="N40" s="333">
        <f>Assumptions!$D$32</f>
      </c>
      <c r="O40" s="333">
        <f>Assumptions!$D$32</f>
      </c>
      <c r="P40" s="333">
        <f>Assumptions!$D$32</f>
      </c>
      <c r="Q40" s="333">
        <f>Assumptions!$D$32</f>
      </c>
      <c r="R40" s="333">
        <f>Assumptions!$D$32</f>
      </c>
      <c r="S40" s="333">
        <f>Assumptions!$D$32</f>
      </c>
      <c r="T40" s="113"/>
    </row>
    <row r="41" spans="3:20" s="53" customFormat="1">
      <c r="C41"/>
      <c r="D41"/>
      <c r="E41"/>
      <c r="F41"/>
      <c r="G41"/>
      <c r="H41" s="72"/>
      <c r="I41"/>
      <c r="J41"/>
      <c r="K41"/>
      <c r="L41"/>
      <c r="M41"/>
      <c r="N41"/>
      <c r="O41"/>
      <c r="P41"/>
      <c r="Q41"/>
      <c r="R41"/>
      <c r="S41"/>
      <c r="T41"/>
    </row>
    <row r="42" spans="3:20" s="53" customFormat="1">
      <c r="C42"/>
      <c r="D42" t="s">
        <v>38</v>
      </c>
      <c r="E42"/>
      <c r="F42" s="2"/>
      <c r="G42" s="2"/>
      <c r="H42" s="246"/>
      <c r="I42" s="348">
        <v>46.99620000000001</v>
      </c>
      <c r="J42" s="348">
        <v>42.24960000000001</v>
      </c>
      <c r="K42" s="352">
        <v>52.326</v>
      </c>
      <c r="L42" s="348">
        <v>58.78170000000001</v>
      </c>
      <c r="M42" s="348">
        <v>58.9437</v>
      </c>
      <c r="N42" s="348">
        <f>N35+N39</f>
      </c>
      <c r="O42" s="348">
        <f>O35+O39</f>
      </c>
      <c r="P42" s="348">
        <f>P35+P39</f>
      </c>
      <c r="Q42" s="348">
        <f>Q35+Q39</f>
      </c>
      <c r="R42" s="348">
        <f>R35+R39</f>
      </c>
      <c r="S42" s="348">
        <f>S35+S39</f>
      </c>
      <c r="T42" s="348" t="s">
        <v>161</v>
      </c>
    </row>
    <row r="43" spans="3:20">
      <c r="C43" s="53"/>
      <c r="D43" s="53" t="s">
        <v>1</v>
      </c>
      <c r="E43" s="53"/>
      <c r="F43" s="54"/>
      <c r="G43" s="54"/>
      <c r="H43" s="73"/>
      <c r="I43" s="344"/>
      <c r="J43" s="344"/>
      <c r="K43" s="344"/>
      <c r="L43" s="344"/>
      <c r="M43" s="344"/>
      <c r="N43" s="344">
        <f>N42/N24</f>
      </c>
      <c r="O43" s="344">
        <f>O42/O24</f>
      </c>
      <c r="P43" s="344">
        <f>P42/P24</f>
      </c>
      <c r="Q43" s="344">
        <f>Q42/Q24</f>
      </c>
      <c r="R43" s="344">
        <f>R42/R24</f>
      </c>
      <c r="S43" s="344">
        <f>S42/S24</f>
      </c>
      <c r="T43" s="54"/>
    </row>
    <row r="44" spans="3:20">
      <c r="C44" s="53"/>
      <c r="D44" s="53" t="s">
        <v>0</v>
      </c>
      <c r="E44" s="53"/>
      <c r="F44" s="53"/>
      <c r="G44" s="253"/>
      <c r="H44" s="254"/>
      <c r="I44" s="355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54"/>
    </row>
    <row r="45" spans="3:20">
      <c r="H45" s="72"/>
    </row>
    <row r="46" spans="3:20">
      <c r="D46" t="s">
        <v>4</v>
      </c>
      <c r="F46" s="2"/>
      <c r="G46" s="2"/>
      <c r="H46" s="246"/>
      <c r="I46" s="2">
        <v>36.13</v>
      </c>
      <c r="J46" s="348">
        <v>40.46</v>
      </c>
      <c r="K46" s="348">
        <v>47.2</v>
      </c>
      <c r="L46" s="348">
        <v>51.83</v>
      </c>
      <c r="M46" s="348">
        <v>54.8</v>
      </c>
      <c r="N46" s="348">
        <f>-N31</f>
      </c>
      <c r="O46" s="348">
        <f>-O31</f>
      </c>
      <c r="P46" s="348">
        <f>-P31</f>
      </c>
      <c r="Q46" s="348">
        <f>-Q31</f>
      </c>
      <c r="R46" s="348">
        <f>-R31</f>
      </c>
      <c r="S46" s="348">
        <f>-S31</f>
      </c>
      <c r="T46" s="349"/>
    </row>
    <row r="47" spans="3:20" s="53" customFormat="1">
      <c r="C47"/>
      <c r="D47"/>
      <c r="E47"/>
      <c r="F47"/>
      <c r="G47"/>
      <c r="H47" s="72"/>
      <c r="I47"/>
      <c r="J47"/>
      <c r="K47" s="141"/>
      <c r="L47" s="141"/>
      <c r="M47" s="141"/>
      <c r="N47" s="141"/>
      <c r="O47" s="141"/>
      <c r="P47" s="141"/>
      <c r="Q47" s="141"/>
      <c r="R47" s="141"/>
      <c r="S47" s="141"/>
      <c r="T47" s="350"/>
    </row>
    <row r="48" spans="3:20" s="53" customFormat="1">
      <c r="C48"/>
      <c r="D48" t="s">
        <v>7</v>
      </c>
      <c r="E48"/>
      <c r="F48" s="331"/>
      <c r="G48" s="331"/>
      <c r="H48" s="332"/>
      <c r="I48" s="331">
        <v>-36.0</v>
      </c>
      <c r="J48" s="331">
        <v>-51.0</v>
      </c>
      <c r="K48" s="331">
        <v>-50.0</v>
      </c>
      <c r="L48" s="331">
        <v>-50.0</v>
      </c>
      <c r="M48" s="331">
        <v>-50.0</v>
      </c>
      <c r="N48" s="331">
        <f>N49*N24</f>
      </c>
      <c r="O48" s="331">
        <f>O49*O24</f>
      </c>
      <c r="P48" s="331">
        <f>P49*P24</f>
      </c>
      <c r="Q48" s="331">
        <f>Q49*Q24</f>
      </c>
      <c r="R48" s="331">
        <f>R49*R24</f>
      </c>
      <c r="S48" s="331">
        <f>S49*S24</f>
      </c>
      <c r="T48" s="349"/>
    </row>
    <row r="49" spans="3:20">
      <c r="C49" s="53"/>
      <c r="D49" s="53" t="s">
        <v>24</v>
      </c>
      <c r="E49" s="53"/>
      <c r="F49" s="344"/>
      <c r="G49" s="344"/>
      <c r="H49" s="346"/>
      <c r="I49" s="344">
        <v>-0.03132532217223706</v>
      </c>
      <c r="J49" s="344">
        <v>-0.04061706075834441</v>
      </c>
      <c r="K49" s="344">
        <v>-0.036931986054482065</v>
      </c>
      <c r="L49" s="344">
        <v>-0.034554727777854566</v>
      </c>
      <c r="M49" s="344">
        <v>-0.03465916180283096</v>
      </c>
      <c r="N49" s="344">
        <f>-Assumptions!$D$30</f>
      </c>
      <c r="O49" s="344">
        <f>-Assumptions!$D$30</f>
      </c>
      <c r="P49" s="344">
        <f>-Assumptions!$D$30</f>
      </c>
      <c r="Q49" s="344">
        <f>-Assumptions!$D$30</f>
      </c>
      <c r="R49" s="344">
        <f>-Assumptions!$D$30</f>
      </c>
      <c r="S49" s="344">
        <f>-Assumptions!$D$30</f>
      </c>
      <c r="T49" s="351"/>
    </row>
    <row r="50" spans="3:20">
      <c r="C50" s="53"/>
      <c r="D50" s="53" t="s">
        <v>27</v>
      </c>
      <c r="E50" s="53"/>
      <c r="F50" s="344"/>
      <c r="G50" s="344"/>
      <c r="H50" s="346"/>
      <c r="I50" s="344">
        <v>1.0036111111111112</v>
      </c>
      <c r="J50" s="344">
        <v>0.7933333333333333</v>
      </c>
      <c r="K50" s="344">
        <v>0.9440000000000001</v>
      </c>
      <c r="L50" s="344">
        <v>1.0366</v>
      </c>
      <c r="M50" s="344">
        <v>1.0959999999999999</v>
      </c>
      <c r="N50" s="344">
        <f>-N46/N48</f>
      </c>
      <c r="O50" s="344">
        <f>-O46/O48</f>
      </c>
      <c r="P50" s="344">
        <f>-P46/P48</f>
      </c>
      <c r="Q50" s="344">
        <f>-Q46/Q48</f>
      </c>
      <c r="R50" s="344">
        <f>-R46/R48</f>
      </c>
      <c r="S50" s="344">
        <f>-S46/S48</f>
      </c>
      <c r="T50" s="351"/>
    </row>
    <row r="51" spans="3:20">
      <c r="C51" s="53"/>
      <c r="D51" s="53"/>
      <c r="E51" s="53"/>
      <c r="F51" s="54"/>
      <c r="G51" s="54"/>
      <c r="H51" s="73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351"/>
    </row>
    <row r="52" spans="3:20">
      <c r="D52" t="s">
        <v>39</v>
      </c>
      <c r="F52" s="331"/>
      <c r="G52" s="331"/>
      <c r="H52" s="332"/>
      <c r="I52" s="331">
        <v>-17.23845</v>
      </c>
      <c r="J52" s="331">
        <v>-18.83445</v>
      </c>
      <c r="K52" s="331">
        <v>-20.307599999999997</v>
      </c>
      <c r="L52" s="331">
        <v>-21.7047</v>
      </c>
      <c r="M52" s="331">
        <v>-21.6393</v>
      </c>
      <c r="N52" s="331">
        <f>N53*N24</f>
      </c>
      <c r="O52" s="331">
        <f>O53*O24</f>
      </c>
      <c r="P52" s="331">
        <f>P53*P24</f>
      </c>
      <c r="Q52" s="331">
        <f>Q53*Q24</f>
      </c>
      <c r="R52" s="331">
        <f>R53*R24</f>
      </c>
      <c r="S52" s="331">
        <f>S53*S24</f>
      </c>
      <c r="T52" s="349"/>
    </row>
    <row r="53" spans="3:20">
      <c r="C53" s="53"/>
      <c r="D53" s="53" t="s">
        <v>24</v>
      </c>
      <c r="E53" s="53"/>
      <c r="F53" s="344"/>
      <c r="G53" s="344"/>
      <c r="H53" s="346"/>
      <c r="I53" s="344">
        <v>-0.015</v>
      </c>
      <c r="J53" s="344">
        <v>-0.015</v>
      </c>
      <c r="K53" s="344">
        <v>-0.015</v>
      </c>
      <c r="L53" s="344">
        <v>-0.015</v>
      </c>
      <c r="M53" s="344">
        <v>-0.015</v>
      </c>
      <c r="N53" s="344">
        <f>-Assumptions!$D$31</f>
      </c>
      <c r="O53" s="344">
        <f>-Assumptions!$D$31</f>
      </c>
      <c r="P53" s="344">
        <f>-Assumptions!$D$31</f>
      </c>
      <c r="Q53" s="344">
        <f>-Assumptions!$D$31</f>
      </c>
      <c r="R53" s="344">
        <f>-Assumptions!$D$31</f>
      </c>
      <c r="S53" s="344">
        <f>-Assumptions!$D$31</f>
      </c>
      <c r="T53" s="54"/>
    </row>
    <row r="54" spans="3:20">
      <c r="C54" s="53"/>
      <c r="D54" s="53"/>
      <c r="E54" s="53"/>
      <c r="F54" s="54"/>
      <c r="G54" s="54"/>
      <c r="H54" s="73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3:20">
      <c r="C55" s="53"/>
      <c r="D55" t="s">
        <v>127</v>
      </c>
      <c r="E55" s="53"/>
      <c r="F55" s="331"/>
      <c r="G55" s="331"/>
      <c r="H55" s="332"/>
      <c r="I55" s="331">
        <v>0</v>
      </c>
      <c r="J55" s="331">
        <v>0</v>
      </c>
      <c r="K55" s="331">
        <v>0</v>
      </c>
      <c r="L55" s="331">
        <v>0</v>
      </c>
      <c r="M55" s="331">
        <v>0</v>
      </c>
      <c r="N55" s="331">
        <v>0</v>
      </c>
      <c r="O55" s="331">
        <v>0</v>
      </c>
      <c r="P55" s="331">
        <v>0</v>
      </c>
      <c r="Q55" s="331">
        <v>0</v>
      </c>
      <c r="R55" s="331">
        <v>0</v>
      </c>
      <c r="S55" s="331">
        <v>0</v>
      </c>
      <c r="T55" s="54"/>
    </row>
    <row r="56" spans="3:20">
      <c r="C56" s="53"/>
      <c r="D56" s="53" t="s">
        <v>24</v>
      </c>
      <c r="E56" s="53"/>
      <c r="F56" s="344"/>
      <c r="G56" s="344"/>
      <c r="H56" s="346"/>
      <c r="I56" s="344">
        <v>0</v>
      </c>
      <c r="J56" s="344">
        <v>0</v>
      </c>
      <c r="K56" s="344">
        <v>0</v>
      </c>
      <c r="L56" s="344">
        <v>0</v>
      </c>
      <c r="M56" s="344">
        <v>0</v>
      </c>
      <c r="N56" s="344">
        <v>0</v>
      </c>
      <c r="O56" s="344">
        <v>0</v>
      </c>
      <c r="P56" s="344">
        <v>0</v>
      </c>
      <c r="Q56" s="344">
        <v>0</v>
      </c>
      <c r="R56" s="344">
        <v>0</v>
      </c>
      <c r="S56" s="344">
        <v>0</v>
      </c>
      <c r="T56" s="54"/>
    </row>
    <row r="57" spans="3:20">
      <c r="C57" s="53"/>
      <c r="D57" s="53"/>
      <c r="E57" s="53"/>
      <c r="F57" s="54"/>
      <c r="G57" s="54"/>
      <c r="H57" s="73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3:20">
      <c r="C58" s="53"/>
      <c r="D58" t="s">
        <v>128</v>
      </c>
      <c r="E58" s="53"/>
      <c r="F58" s="331"/>
      <c r="G58" s="331"/>
      <c r="H58" s="332"/>
      <c r="I58" s="331">
        <v>0</v>
      </c>
      <c r="J58" s="331">
        <v>0</v>
      </c>
      <c r="K58" s="331">
        <v>0</v>
      </c>
      <c r="L58" s="331">
        <v>0</v>
      </c>
      <c r="M58" s="331">
        <v>0</v>
      </c>
      <c r="N58" s="331">
        <v>0</v>
      </c>
      <c r="O58" s="331">
        <v>0</v>
      </c>
      <c r="P58" s="331">
        <v>0</v>
      </c>
      <c r="Q58" s="331">
        <v>0</v>
      </c>
      <c r="R58" s="331">
        <v>0</v>
      </c>
      <c r="S58" s="331">
        <v>0</v>
      </c>
      <c r="T58" s="54"/>
    </row>
    <row r="59" spans="3:20">
      <c r="C59" s="53"/>
      <c r="D59" s="53" t="s">
        <v>24</v>
      </c>
      <c r="E59" s="53"/>
      <c r="F59" s="344"/>
      <c r="G59" s="344"/>
      <c r="H59" s="346"/>
      <c r="I59" s="344">
        <v>0</v>
      </c>
      <c r="J59" s="344">
        <v>0</v>
      </c>
      <c r="K59" s="344">
        <v>0</v>
      </c>
      <c r="L59" s="344">
        <v>0</v>
      </c>
      <c r="M59" s="344">
        <v>0</v>
      </c>
      <c r="N59" s="344">
        <v>0</v>
      </c>
      <c r="O59" s="344">
        <v>0</v>
      </c>
      <c r="P59" s="344">
        <v>0</v>
      </c>
      <c r="Q59" s="344">
        <v>0</v>
      </c>
      <c r="R59" s="344">
        <v>0</v>
      </c>
      <c r="S59" s="344">
        <v>0</v>
      </c>
      <c r="T59" s="54"/>
    </row>
    <row r="60" spans="3:20">
      <c r="H60" s="73"/>
    </row>
    <row r="61" spans="3:20">
      <c r="D61" s="55" t="s">
        <v>40</v>
      </c>
      <c r="E61" s="55"/>
      <c r="F61" s="130"/>
      <c r="G61" s="130"/>
      <c r="H61" s="131"/>
      <c r="I61" s="353">
        <f>I42+I46+I48+I52+I55+I58</f>
        <v>0</v>
      </c>
      <c r="J61" s="353">
        <f t="shared" ref="J61:S61" si="8">J42+J46+J48+J52+J55+J58</f>
        <v>0</v>
      </c>
      <c r="K61" s="353">
        <f t="shared" si="8"/>
        <v>0</v>
      </c>
      <c r="L61" s="353">
        <f t="shared" si="8"/>
        <v>0</v>
      </c>
      <c r="M61" s="353">
        <f t="shared" si="8"/>
        <v>0</v>
      </c>
      <c r="N61" s="353">
        <f>N42+N46+N48+N52+N55+N58</f>
      </c>
      <c r="O61" s="353">
        <f>O42+O46+O48+O52+O55+O58</f>
      </c>
      <c r="P61" s="353">
        <f>P42+P46+P48+P52+P55+P58</f>
      </c>
      <c r="Q61" s="353">
        <f>Q42+Q46+Q48+Q52+Q55+Q58</f>
      </c>
      <c r="R61" s="353">
        <f>R42+R46+R48+R52+R55+R58</f>
      </c>
      <c r="S61" s="353">
        <f>S42+S46+S48+S52+S55+S58</f>
      </c>
      <c r="T61" s="130" t="s">
        <v>162</v>
      </c>
    </row>
    <row r="62" spans="3:20">
      <c r="H62" s="72"/>
    </row>
    <row r="63" spans="3:20" ht="12.75" customHeight="1">
      <c r="D63" s="38" t="s">
        <v>63</v>
      </c>
      <c r="H63" s="72"/>
      <c r="I63" s="248">
        <f t="shared" ref="I63:S63" si="9">-I18*I61</f>
        <v>0</v>
      </c>
      <c r="J63" s="2">
        <f t="shared" si="9"/>
        <v>0</v>
      </c>
      <c r="K63" s="2">
        <f t="shared" si="9"/>
        <v>0</v>
      </c>
      <c r="L63" s="2">
        <f t="shared" si="9"/>
        <v>0</v>
      </c>
      <c r="M63" s="2">
        <f t="shared" si="9"/>
        <v>0</v>
      </c>
      <c r="N63" s="2">
        <f t="shared" si="9"/>
        <v>0</v>
      </c>
      <c r="O63" s="2">
        <f t="shared" si="9"/>
        <v>0</v>
      </c>
      <c r="P63" s="2">
        <f t="shared" si="9"/>
        <v>0</v>
      </c>
      <c r="Q63" s="2">
        <f t="shared" si="9"/>
        <v>0</v>
      </c>
      <c r="R63" s="2">
        <f t="shared" si="9"/>
        <v>0</v>
      </c>
      <c r="S63" s="2">
        <f t="shared" si="9"/>
        <v>0</v>
      </c>
      <c r="T63" s="2"/>
    </row>
    <row r="64" spans="3:20">
      <c r="D64" s="55" t="s">
        <v>41</v>
      </c>
      <c r="E64" s="55"/>
      <c r="F64" s="55"/>
      <c r="G64" s="55"/>
      <c r="H64" s="250"/>
      <c r="I64" s="132">
        <f>I63+I61</f>
        <v>0</v>
      </c>
      <c r="J64" s="130">
        <f t="shared" ref="J64:O64" si="10">J63+J61</f>
        <v>0</v>
      </c>
      <c r="K64" s="130">
        <f t="shared" si="10"/>
        <v>0</v>
      </c>
      <c r="L64" s="130">
        <f t="shared" si="10"/>
        <v>0</v>
      </c>
      <c r="M64" s="130">
        <f>M63+M61</f>
        <v>0</v>
      </c>
      <c r="N64" s="130">
        <f>N63+N61</f>
      </c>
      <c r="O64" s="130">
        <f>O63+O61</f>
      </c>
      <c r="P64" s="130">
        <f>P63+P61</f>
      </c>
      <c r="Q64" s="130">
        <f>Q63+Q61</f>
      </c>
      <c r="R64" s="130">
        <f>R63+R61</f>
      </c>
      <c r="S64" s="130">
        <f>S63+S61</f>
      </c>
      <c r="T64" s="130"/>
    </row>
    <row r="65" spans="4:20">
      <c r="H65" s="72"/>
    </row>
    <row r="66" spans="4:20" ht="12.75" customHeight="1">
      <c r="D66" s="56" t="s">
        <v>42</v>
      </c>
      <c r="E66" s="56"/>
      <c r="F66" s="56"/>
      <c r="G66" s="56"/>
      <c r="H66" s="251"/>
      <c r="I66" s="123">
        <f>(I22-F7)/2</f>
        <v>-913</v>
      </c>
      <c r="J66" s="133">
        <f t="shared" ref="J66:S66" si="11">I66+365.25</f>
        <v>-547.75</v>
      </c>
      <c r="K66" s="133">
        <f t="shared" si="11"/>
        <v>-182.5</v>
      </c>
      <c r="L66" s="133">
        <f t="shared" si="11"/>
        <v>182.75</v>
      </c>
      <c r="M66" s="133">
        <f t="shared" si="11"/>
        <v>548</v>
      </c>
      <c r="N66" s="133">
        <f t="shared" si="11"/>
        <v>913.25</v>
      </c>
      <c r="O66" s="133">
        <f t="shared" si="11"/>
        <v>1278.5</v>
      </c>
      <c r="P66" s="133">
        <f t="shared" si="11"/>
        <v>1643.75</v>
      </c>
      <c r="Q66" s="133">
        <f t="shared" si="11"/>
        <v>2009</v>
      </c>
      <c r="R66" s="133">
        <f t="shared" si="11"/>
        <v>2374.25</v>
      </c>
      <c r="S66" s="133">
        <f t="shared" si="11"/>
        <v>2739.5</v>
      </c>
      <c r="T66" s="133"/>
    </row>
    <row r="67" spans="4:20">
      <c r="D67" s="41" t="s">
        <v>43</v>
      </c>
      <c r="E67" s="41"/>
      <c r="F67" s="41"/>
      <c r="G67" s="41"/>
      <c r="H67" s="252"/>
      <c r="I67" s="124">
        <f>1/((1+$F$11)^(I66/365.25))</f>
        <v>1</v>
      </c>
      <c r="J67" s="134">
        <f t="shared" ref="J67:Q67" si="12">1/((1+$F$11)^(J66/365.25))</f>
        <v>1</v>
      </c>
      <c r="K67" s="134">
        <f t="shared" si="12"/>
        <v>1</v>
      </c>
      <c r="L67" s="134">
        <f t="shared" si="12"/>
        <v>1</v>
      </c>
      <c r="M67" s="134">
        <f t="shared" si="12"/>
        <v>1</v>
      </c>
      <c r="N67" s="134">
        <f t="shared" si="12"/>
        <v>1</v>
      </c>
      <c r="O67" s="134">
        <f t="shared" si="12"/>
        <v>1</v>
      </c>
      <c r="P67" s="134">
        <f t="shared" si="12"/>
        <v>1</v>
      </c>
      <c r="Q67" s="134">
        <f t="shared" si="12"/>
        <v>1</v>
      </c>
      <c r="R67" s="134">
        <f>1/((1+$F$11)^(R66/365.25))</f>
        <v>1</v>
      </c>
      <c r="S67" s="134">
        <f>1/((1+$F$11)^(S66/365.25))</f>
        <v>1</v>
      </c>
      <c r="T67" s="134"/>
    </row>
    <row r="68" spans="4:20">
      <c r="R68" s="2"/>
      <c r="S68" s="2"/>
      <c r="T68" s="2"/>
    </row>
    <row r="69" spans="4:20">
      <c r="D69" s="71" t="s">
        <v>44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 t="s">
        <v>45</v>
      </c>
      <c r="Q69" s="71"/>
      <c r="R69" s="71"/>
      <c r="S69" s="71"/>
      <c r="T69" s="76" t="e">
        <f>S64*(1+F9)/(F11-F9)</f>
        <v>#DIV/0!</v>
      </c>
    </row>
    <row r="70" spans="4:20"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 t="s">
        <v>46</v>
      </c>
      <c r="Q70" s="36"/>
      <c r="R70" s="36"/>
      <c r="S70" s="36"/>
      <c r="T70" s="77">
        <f>S27*F10</f>
        <v>0</v>
      </c>
    </row>
    <row r="71" spans="4:20">
      <c r="Q71" s="2"/>
      <c r="R71" s="2"/>
      <c r="S71" s="2"/>
      <c r="T71" s="2"/>
    </row>
    <row r="72" spans="4:20">
      <c r="F72" s="46" t="s">
        <v>47</v>
      </c>
      <c r="G72" s="46"/>
      <c r="H72" s="46"/>
      <c r="I72" s="46"/>
      <c r="L72" s="46" t="s">
        <v>48</v>
      </c>
      <c r="M72" s="46"/>
      <c r="N72" s="46"/>
      <c r="O72" s="46"/>
    </row>
    <row r="73" spans="4:20" ht="4.5" customHeight="1"/>
    <row r="74" spans="4:20">
      <c r="F74" s="36" t="s">
        <v>49</v>
      </c>
      <c r="G74" s="36"/>
      <c r="H74" s="126" t="s">
        <v>139</v>
      </c>
      <c r="I74" s="126" t="s">
        <v>21</v>
      </c>
      <c r="L74" s="36" t="s">
        <v>49</v>
      </c>
      <c r="M74" s="78"/>
      <c r="N74" s="126" t="s">
        <v>139</v>
      </c>
      <c r="O74" s="126" t="s">
        <v>21</v>
      </c>
    </row>
    <row r="75" spans="4:20">
      <c r="F75" t="s">
        <v>50</v>
      </c>
      <c r="H75" s="309">
        <f>SUMPRODUCT($I$64:$T$64,$I$67:$T$67)</f>
        <v>0</v>
      </c>
      <c r="I75" s="52" t="e">
        <f>H75/$H$77</f>
        <v>#DIV/0!</v>
      </c>
      <c r="L75" t="s">
        <v>50</v>
      </c>
      <c r="N75" s="40">
        <f>SUMPRODUCT($G$64:$T$64,$G$67:$T$67)</f>
        <v>0</v>
      </c>
      <c r="O75" s="52" t="e">
        <f>N75/$N$77</f>
        <v>#DIV/0!</v>
      </c>
    </row>
    <row r="76" spans="4:20">
      <c r="F76" t="s">
        <v>51</v>
      </c>
      <c r="H76" s="309" t="e">
        <f>T69*S67</f>
        <v>#DIV/0!</v>
      </c>
      <c r="I76" s="52" t="e">
        <f>H76/$H$77</f>
        <v>#DIV/0!</v>
      </c>
      <c r="L76" t="s">
        <v>51</v>
      </c>
      <c r="N76" s="40">
        <f>T70*R67</f>
        <v>0</v>
      </c>
      <c r="O76" s="52" t="e">
        <f>N76/$N$77</f>
        <v>#DIV/0!</v>
      </c>
    </row>
    <row r="77" spans="4:20">
      <c r="F77" s="24" t="s">
        <v>52</v>
      </c>
      <c r="G77" s="55"/>
      <c r="H77" s="310" t="e">
        <f>SUM(H75:H76)</f>
        <v>#DIV/0!</v>
      </c>
      <c r="I77" s="57" t="e">
        <f>SUM(I75:I76)</f>
        <v>#DIV/0!</v>
      </c>
      <c r="L77" s="24" t="s">
        <v>52</v>
      </c>
      <c r="M77" s="55"/>
      <c r="N77" s="48">
        <f>SUM(N75:N76)</f>
        <v>0</v>
      </c>
      <c r="O77" s="57" t="e">
        <f>SUM(O75:O76)</f>
        <v>#DIV/0!</v>
      </c>
    </row>
    <row r="78" spans="4:20">
      <c r="F78" t="s">
        <v>67</v>
      </c>
      <c r="H78" s="129">
        <f>-SUM(Assumptions!$D$19:$D$22)</f>
        <v>-84.616813539584982</v>
      </c>
      <c r="I78" s="81"/>
      <c r="L78" t="s">
        <v>67</v>
      </c>
      <c r="N78" s="129">
        <f>-SUM(Assumptions!$D$19:$D$22)</f>
        <v>-84.616813539584982</v>
      </c>
      <c r="O78" s="81"/>
    </row>
    <row r="79" spans="4:20">
      <c r="F79" s="24" t="s">
        <v>68</v>
      </c>
      <c r="G79" s="55"/>
      <c r="H79" s="310" t="e">
        <f>H77+H78</f>
        <v>#DIV/0!</v>
      </c>
      <c r="I79" s="57"/>
      <c r="L79" s="24" t="s">
        <v>68</v>
      </c>
      <c r="M79" s="55"/>
      <c r="N79" s="48">
        <f>N77+N78</f>
        <v>-84.616813539584982</v>
      </c>
      <c r="O79" s="57"/>
    </row>
    <row r="80" spans="4:20">
      <c r="F80" s="56" t="s">
        <v>64</v>
      </c>
      <c r="G80" s="56"/>
      <c r="H80" s="62" t="e">
        <f>H79/Assumptions!$D$17*100</f>
        <v>#DIV/0!</v>
      </c>
      <c r="I80" s="83"/>
      <c r="L80" s="56" t="s">
        <v>64</v>
      </c>
      <c r="M80" s="56"/>
      <c r="N80" s="82">
        <f>N79/Assumptions!$D$17*100</f>
        <v>-42.521011828937176</v>
      </c>
      <c r="O80" s="83"/>
    </row>
    <row r="81" spans="4:20">
      <c r="F81" s="84" t="s">
        <v>28</v>
      </c>
      <c r="G81" s="41"/>
      <c r="H81" s="311" t="e">
        <f>H80/Assumptions!$D$16-1</f>
        <v>#DIV/0!</v>
      </c>
      <c r="I81" s="86"/>
      <c r="L81" s="84" t="s">
        <v>28</v>
      </c>
      <c r="M81" s="41"/>
      <c r="N81" s="85">
        <f>N80/Assumptions!$D$16-1</f>
        <v>-1.2577031019935587</v>
      </c>
      <c r="O81" s="86"/>
    </row>
    <row r="82" spans="4:20">
      <c r="H82" s="2"/>
    </row>
    <row r="83" spans="4:20">
      <c r="D83" s="46" t="s">
        <v>11</v>
      </c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4:20" ht="4.5" customHeight="1"/>
    <row r="85" spans="4:20">
      <c r="D85" s="36" t="s">
        <v>53</v>
      </c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71"/>
    </row>
    <row r="87" spans="4:20" ht="12.75" customHeight="1">
      <c r="E87" s="26" t="s">
        <v>32</v>
      </c>
      <c r="F87" s="334"/>
      <c r="G87" s="26" t="s">
        <v>54</v>
      </c>
      <c r="I87" s="336"/>
      <c r="L87" s="26" t="s">
        <v>55</v>
      </c>
      <c r="M87" s="337"/>
      <c r="N87" s="26" t="s">
        <v>56</v>
      </c>
      <c r="P87" s="337"/>
    </row>
    <row r="88" spans="4:20">
      <c r="E88" s="26" t="s">
        <v>35</v>
      </c>
      <c r="F88" s="335"/>
      <c r="G88" s="26" t="s">
        <v>57</v>
      </c>
      <c r="I88" s="336"/>
      <c r="L88" s="26" t="s">
        <v>35</v>
      </c>
      <c r="M88" s="51">
        <f>F88</f>
        <v>0</v>
      </c>
      <c r="N88" s="26" t="s">
        <v>57</v>
      </c>
      <c r="P88" s="114">
        <f>I88</f>
        <v>0</v>
      </c>
    </row>
    <row r="90" spans="4:20">
      <c r="E90" s="75" t="s">
        <v>58</v>
      </c>
      <c r="F90" s="75"/>
      <c r="G90" s="75"/>
      <c r="H90" s="75"/>
      <c r="I90" s="75"/>
      <c r="J90" s="75"/>
      <c r="L90" s="75" t="s">
        <v>59</v>
      </c>
      <c r="M90" s="75"/>
      <c r="N90" s="75"/>
      <c r="O90" s="75"/>
      <c r="P90" s="75"/>
      <c r="Q90" s="75"/>
    </row>
    <row r="91" spans="4:20" ht="4.5" customHeight="1"/>
    <row r="92" spans="4:20">
      <c r="E92" s="74" t="s">
        <v>140</v>
      </c>
      <c r="F92" s="36"/>
      <c r="G92" s="36"/>
      <c r="H92" s="36"/>
      <c r="I92" s="36"/>
      <c r="J92" s="36"/>
      <c r="L92" s="74" t="s">
        <v>140</v>
      </c>
      <c r="M92" s="36"/>
      <c r="N92" s="36"/>
      <c r="O92" s="36"/>
      <c r="P92" s="36"/>
      <c r="Q92" s="36"/>
    </row>
    <row r="93" spans="4:20">
      <c r="E93" s="29" t="s">
        <v>60</v>
      </c>
      <c r="F93" s="79" t="s">
        <v>61</v>
      </c>
      <c r="G93" s="49"/>
      <c r="H93" s="49"/>
      <c r="I93" s="49"/>
      <c r="J93" s="50"/>
      <c r="L93" s="29" t="s">
        <v>60</v>
      </c>
      <c r="M93" s="49" t="s">
        <v>62</v>
      </c>
      <c r="N93" s="49"/>
      <c r="O93" s="49"/>
      <c r="P93" s="49"/>
      <c r="Q93" s="50"/>
    </row>
    <row r="94" spans="4:20" ht="12.75" customHeight="1">
      <c r="E94" s="58" t="e">
        <f>H77</f>
        <v>#DIV/0!</v>
      </c>
      <c r="F94" s="59">
        <f>G94-$I$87</f>
        <v>0</v>
      </c>
      <c r="G94" s="59">
        <f>H94-$I$87</f>
        <v>0</v>
      </c>
      <c r="H94" s="149">
        <f>$F$87</f>
        <v>0</v>
      </c>
      <c r="I94" s="59">
        <f>H94+$I$87</f>
        <v>0</v>
      </c>
      <c r="J94" s="60">
        <f>I94+$I$87</f>
        <v>0</v>
      </c>
      <c r="L94" s="58">
        <f>N77</f>
        <v>0</v>
      </c>
      <c r="M94" s="278">
        <f>N94-$P$87</f>
        <v>0</v>
      </c>
      <c r="N94" s="278">
        <f>O94-$P$87</f>
        <v>0</v>
      </c>
      <c r="O94" s="279">
        <f>$M$87</f>
        <v>0</v>
      </c>
      <c r="P94" s="278">
        <f>O94+$P$87</f>
        <v>0</v>
      </c>
      <c r="Q94" s="280">
        <f>P94+$P$87</f>
        <v>0</v>
      </c>
    </row>
    <row r="95" spans="4:20" ht="12.75" customHeight="1">
      <c r="E95" s="27">
        <f>E96-$I$88</f>
        <v>0</v>
      </c>
      <c r="F95" s="255" t="e">
        <f t="dataTable" ref="F95:J99" dt2D="1" dtr="1" r1="F9" r2="F11" ca="1"/>
        <v>#DIV/0!</v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27">
        <f>L96-$I$88</f>
        <v>0</v>
      </c>
      <c r="M95" s="281">
        <f t="dataTable" ref="M95:Q99" dt2D="1" dtr="1" r1="F10" r2="F11"/>
        <v>0</v>
      </c>
      <c r="N95" s="282">
        <v>0</v>
      </c>
      <c r="O95" s="282">
        <v>0</v>
      </c>
      <c r="P95" s="282">
        <v>0</v>
      </c>
      <c r="Q95" s="283">
        <v>0</v>
      </c>
    </row>
    <row r="96" spans="4:20" ht="12.75" customHeight="1">
      <c r="E96" s="27">
        <f>E97-$I$88</f>
        <v>0</v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27">
        <f>L97-$I$88</f>
        <v>0</v>
      </c>
      <c r="M96" s="284">
        <v>0</v>
      </c>
      <c r="N96" s="285">
        <v>0</v>
      </c>
      <c r="O96" s="286">
        <v>0</v>
      </c>
      <c r="P96" s="285">
        <v>0</v>
      </c>
      <c r="Q96" s="287">
        <v>0</v>
      </c>
      <c r="R96" s="66"/>
      <c r="S96" s="66"/>
      <c r="T96" s="66"/>
    </row>
    <row r="97" spans="4:20" ht="12.75" customHeight="1">
      <c r="E97" s="150">
        <f>$F$88</f>
        <v>0</v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150">
        <f>$M$88</f>
        <v>0</v>
      </c>
      <c r="M97" s="284">
        <v>0</v>
      </c>
      <c r="N97" s="286">
        <v>0</v>
      </c>
      <c r="O97" s="285">
        <v>0</v>
      </c>
      <c r="P97" s="286">
        <v>0</v>
      </c>
      <c r="Q97" s="287">
        <v>0</v>
      </c>
      <c r="R97" s="66"/>
      <c r="S97" s="66"/>
      <c r="T97" s="66"/>
    </row>
    <row r="98" spans="4:20" ht="12.75" customHeight="1">
      <c r="E98" s="127">
        <f>E97+$I$88</f>
        <v>0</v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127">
        <f>L97+$I$88</f>
        <v>0</v>
      </c>
      <c r="M98" s="284">
        <v>0</v>
      </c>
      <c r="N98" s="285">
        <v>0</v>
      </c>
      <c r="O98" s="286">
        <v>0</v>
      </c>
      <c r="P98" s="285">
        <v>0</v>
      </c>
      <c r="Q98" s="287">
        <v>0</v>
      </c>
      <c r="R98" s="66"/>
      <c r="S98" s="66"/>
      <c r="T98" s="66"/>
    </row>
    <row r="99" spans="4:20" ht="12.75" customHeight="1">
      <c r="E99" s="128">
        <f>E98+$I$88</f>
        <v>0</v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128">
        <f>L98+$I$88</f>
        <v>0</v>
      </c>
      <c r="M99" s="288">
        <v>0</v>
      </c>
      <c r="N99" s="289">
        <v>0</v>
      </c>
      <c r="O99" s="289">
        <v>0</v>
      </c>
      <c r="P99" s="289">
        <v>0</v>
      </c>
      <c r="Q99" s="290">
        <v>0</v>
      </c>
      <c r="R99" s="66"/>
      <c r="S99" s="66"/>
      <c r="T99" s="66"/>
    </row>
    <row r="101" spans="4:20">
      <c r="E101" s="74" t="s">
        <v>12</v>
      </c>
      <c r="F101" s="36"/>
      <c r="G101" s="36"/>
      <c r="H101" s="36"/>
      <c r="I101" s="36"/>
      <c r="J101" s="36"/>
      <c r="L101" s="74" t="s">
        <v>12</v>
      </c>
      <c r="M101" s="36"/>
      <c r="N101" s="36"/>
      <c r="O101" s="36"/>
      <c r="P101" s="36"/>
      <c r="Q101" s="36"/>
    </row>
    <row r="102" spans="4:20">
      <c r="E102" s="29" t="s">
        <v>60</v>
      </c>
      <c r="F102" s="79" t="s">
        <v>61</v>
      </c>
      <c r="G102" s="49"/>
      <c r="H102" s="49"/>
      <c r="I102" s="49"/>
      <c r="J102" s="50"/>
      <c r="L102" s="29" t="s">
        <v>60</v>
      </c>
      <c r="M102" s="49" t="s">
        <v>62</v>
      </c>
      <c r="N102" s="49"/>
      <c r="O102" s="49"/>
      <c r="P102" s="49"/>
      <c r="Q102" s="50"/>
    </row>
    <row r="103" spans="4:20">
      <c r="E103" s="151" t="e">
        <f>H80</f>
        <v>#DIV/0!</v>
      </c>
      <c r="F103" s="275">
        <f>G103-$I$87</f>
        <v>0</v>
      </c>
      <c r="G103" s="275">
        <f>H103-$I$87</f>
        <v>0</v>
      </c>
      <c r="H103" s="276">
        <f>$F$87</f>
        <v>0</v>
      </c>
      <c r="I103" s="275">
        <f>H103+$I$87</f>
        <v>0</v>
      </c>
      <c r="J103" s="277">
        <f>I103+$I$87</f>
        <v>0</v>
      </c>
      <c r="L103" s="151">
        <f>N80</f>
        <v>-42.521011828937176</v>
      </c>
      <c r="M103" s="137">
        <f>N103-$P$87</f>
        <v>0</v>
      </c>
      <c r="N103" s="137">
        <f>O103-$P$87</f>
        <v>0</v>
      </c>
      <c r="O103" s="148">
        <f>$M$87</f>
        <v>0</v>
      </c>
      <c r="P103" s="137">
        <f>O103+$P$87</f>
        <v>0</v>
      </c>
      <c r="Q103" s="138">
        <f>P103+$P$87</f>
        <v>0</v>
      </c>
    </row>
    <row r="104" spans="4:20">
      <c r="E104" s="27">
        <f>E105-$I$88</f>
        <v>0</v>
      </c>
      <c r="F104" s="265" t="e">
        <f>(F95-SUM(Assumptions!$D$19:$D$22))/Assumptions!$D$17*100</f>
        <v>#DIV/0!</v>
      </c>
      <c r="G104" s="266" t="e">
        <f>(G95-SUM(Assumptions!$D$19:$D$22))/Assumptions!$D$17*100</f>
        <v>#DIV/0!</v>
      </c>
      <c r="H104" s="267" t="e">
        <f>(H95-SUM(Assumptions!$D$19:$D$22))/Assumptions!$D$17*100</f>
        <v>#DIV/0!</v>
      </c>
      <c r="I104" s="266" t="e">
        <f>(I95-SUM(Assumptions!$D$19:$D$22))/Assumptions!$D$17*100</f>
        <v>#DIV/0!</v>
      </c>
      <c r="J104" s="268" t="e">
        <f>(J95-SUM(Assumptions!$D$19:$D$22))/Assumptions!$D$17*100</f>
        <v>#DIV/0!</v>
      </c>
      <c r="L104" s="27">
        <f>L105-$I$88</f>
        <v>0</v>
      </c>
      <c r="M104" s="61">
        <f>(M95-SUM(Assumptions!$D$19:$D$22))/Assumptions!$D$17*100</f>
        <v>-42.521011828937176</v>
      </c>
      <c r="N104" s="62">
        <f>(N95-SUM(Assumptions!$D$19:$D$22))/Assumptions!$D$17*100</f>
        <v>-42.521011828937176</v>
      </c>
      <c r="O104" s="66">
        <f>(O95-SUM(Assumptions!$D$19:$D$22))/Assumptions!$D$17*100</f>
        <v>-42.521011828937176</v>
      </c>
      <c r="P104" s="62">
        <f>(P95-SUM(Assumptions!$D$19:$D$22))/Assumptions!$D$17*100</f>
        <v>-42.521011828937176</v>
      </c>
      <c r="Q104" s="63">
        <f>(Q95-SUM(Assumptions!$D$19:$D$22))/Assumptions!$D$17*100</f>
        <v>-42.521011828937176</v>
      </c>
    </row>
    <row r="105" spans="4:20">
      <c r="E105" s="27">
        <f>E106-$I$88</f>
        <v>0</v>
      </c>
      <c r="F105" s="269" t="e">
        <f>(F96-SUM(Assumptions!$D$19:$D$22))/Assumptions!$D$17*100</f>
        <v>#DIV/0!</v>
      </c>
      <c r="G105" s="270" t="e">
        <f>(G96-SUM(Assumptions!$D$19:$D$22))/Assumptions!$D$17*100</f>
        <v>#DIV/0!</v>
      </c>
      <c r="H105" s="267" t="e">
        <f>(H96-SUM(Assumptions!$D$19:$D$22))/Assumptions!$D$17*100</f>
        <v>#DIV/0!</v>
      </c>
      <c r="I105" s="270" t="e">
        <f>(I96-SUM(Assumptions!$D$19:$D$22))/Assumptions!$D$17*100</f>
        <v>#DIV/0!</v>
      </c>
      <c r="J105" s="271" t="e">
        <f>(J96-SUM(Assumptions!$D$19:$D$22))/Assumptions!$D$17*100</f>
        <v>#DIV/0!</v>
      </c>
      <c r="L105" s="27">
        <f>L106-$I$88</f>
        <v>0</v>
      </c>
      <c r="M105" s="64">
        <f>(M96-SUM(Assumptions!$D$19:$D$22))/Assumptions!$D$17*100</f>
        <v>-42.521011828937176</v>
      </c>
      <c r="N105" s="65">
        <f>(N96-SUM(Assumptions!$D$19:$D$22))/Assumptions!$D$17*100</f>
        <v>-42.521011828937176</v>
      </c>
      <c r="O105" s="66">
        <f>(O96-SUM(Assumptions!$D$19:$D$22))/Assumptions!$D$17*100</f>
        <v>-42.521011828937176</v>
      </c>
      <c r="P105" s="65">
        <f>(P96-SUM(Assumptions!$D$19:$D$22))/Assumptions!$D$17*100</f>
        <v>-42.521011828937176</v>
      </c>
      <c r="Q105" s="67">
        <f>(Q96-SUM(Assumptions!$D$19:$D$22))/Assumptions!$D$17*100</f>
        <v>-42.521011828937176</v>
      </c>
    </row>
    <row r="106" spans="4:20">
      <c r="E106" s="150">
        <f>$F$88</f>
        <v>0</v>
      </c>
      <c r="F106" s="269" t="e">
        <f>(F97-SUM(Assumptions!$D$19:$D$22))/Assumptions!$D$17*100</f>
        <v>#DIV/0!</v>
      </c>
      <c r="G106" s="267" t="e">
        <f>(G97-SUM(Assumptions!$D$19:$D$22))/Assumptions!$D$17*100</f>
        <v>#DIV/0!</v>
      </c>
      <c r="H106" s="270" t="e">
        <f>(H97-SUM(Assumptions!$D$19:$D$22))/Assumptions!$D$17*100</f>
        <v>#DIV/0!</v>
      </c>
      <c r="I106" s="267" t="e">
        <f>(I97-SUM(Assumptions!$D$19:$D$22))/Assumptions!$D$17*100</f>
        <v>#DIV/0!</v>
      </c>
      <c r="J106" s="271" t="e">
        <f>(J97-SUM(Assumptions!$D$19:$D$22))/Assumptions!$D$17*100</f>
        <v>#DIV/0!</v>
      </c>
      <c r="L106" s="150">
        <f>$M$88</f>
        <v>0</v>
      </c>
      <c r="M106" s="64">
        <f>(M97-SUM(Assumptions!$D$19:$D$22))/Assumptions!$D$17*100</f>
        <v>-42.521011828937176</v>
      </c>
      <c r="N106" s="66">
        <f>(N97-SUM(Assumptions!$D$19:$D$22))/Assumptions!$D$17*100</f>
        <v>-42.521011828937176</v>
      </c>
      <c r="O106" s="65">
        <f>(O97-SUM(Assumptions!$D$19:$D$22))/Assumptions!$D$17*100</f>
        <v>-42.521011828937176</v>
      </c>
      <c r="P106" s="66">
        <f>(P97-SUM(Assumptions!$D$19:$D$22))/Assumptions!$D$17*100</f>
        <v>-42.521011828937176</v>
      </c>
      <c r="Q106" s="67">
        <f>(Q97-SUM(Assumptions!$D$19:$D$22))/Assumptions!$D$17*100</f>
        <v>-42.521011828937176</v>
      </c>
    </row>
    <row r="107" spans="4:20">
      <c r="E107" s="127">
        <f>E106+$I$88</f>
        <v>0</v>
      </c>
      <c r="F107" s="269" t="e">
        <f>(F98-SUM(Assumptions!$D$19:$D$22))/Assumptions!$D$17*100</f>
        <v>#DIV/0!</v>
      </c>
      <c r="G107" s="270" t="e">
        <f>(G98-SUM(Assumptions!$D$19:$D$22))/Assumptions!$D$17*100</f>
        <v>#DIV/0!</v>
      </c>
      <c r="H107" s="267" t="e">
        <f>(H98-SUM(Assumptions!$D$19:$D$22))/Assumptions!$D$17*100</f>
        <v>#DIV/0!</v>
      </c>
      <c r="I107" s="270" t="e">
        <f>(I98-SUM(Assumptions!$D$19:$D$22))/Assumptions!$D$17*100</f>
        <v>#DIV/0!</v>
      </c>
      <c r="J107" s="271" t="e">
        <f>(J98-SUM(Assumptions!$D$19:$D$22))/Assumptions!$D$17*100</f>
        <v>#DIV/0!</v>
      </c>
      <c r="L107" s="127">
        <f>L106+$I$88</f>
        <v>0</v>
      </c>
      <c r="M107" s="64">
        <f>(M98-SUM(Assumptions!$D$19:$D$22))/Assumptions!$D$17*100</f>
        <v>-42.521011828937176</v>
      </c>
      <c r="N107" s="65">
        <f>(N98-SUM(Assumptions!$D$19:$D$22))/Assumptions!$D$17*100</f>
        <v>-42.521011828937176</v>
      </c>
      <c r="O107" s="66">
        <f>(O98-SUM(Assumptions!$D$19:$D$22))/Assumptions!$D$17*100</f>
        <v>-42.521011828937176</v>
      </c>
      <c r="P107" s="65">
        <f>(P98-SUM(Assumptions!$D$19:$D$22))/Assumptions!$D$17*100</f>
        <v>-42.521011828937176</v>
      </c>
      <c r="Q107" s="67">
        <f>(Q98-SUM(Assumptions!$D$19:$D$22))/Assumptions!$D$17*100</f>
        <v>-42.521011828937176</v>
      </c>
    </row>
    <row r="108" spans="4:20">
      <c r="E108" s="128">
        <f>E107+$I$88</f>
        <v>0</v>
      </c>
      <c r="F108" s="272" t="e">
        <f>(F99-SUM(Assumptions!$D$19:$D$22))/Assumptions!$D$17*100</f>
        <v>#DIV/0!</v>
      </c>
      <c r="G108" s="273" t="e">
        <f>(G99-SUM(Assumptions!$D$19:$D$22))/Assumptions!$D$17*100</f>
        <v>#DIV/0!</v>
      </c>
      <c r="H108" s="273" t="e">
        <f>(H99-SUM(Assumptions!$D$19:$D$22))/Assumptions!$D$17*100</f>
        <v>#DIV/0!</v>
      </c>
      <c r="I108" s="273" t="e">
        <f>(I99-SUM(Assumptions!$D$19:$D$22))/Assumptions!$D$17*100</f>
        <v>#DIV/0!</v>
      </c>
      <c r="J108" s="274" t="e">
        <f>(J99-SUM(Assumptions!$D$19:$D$22))/Assumptions!$D$17*100</f>
        <v>#DIV/0!</v>
      </c>
      <c r="L108" s="128">
        <f>L107+$I$88</f>
        <v>0</v>
      </c>
      <c r="M108" s="68">
        <f>(M99-SUM(Assumptions!$D$19:$D$22))/Assumptions!$D$17*100</f>
        <v>-42.521011828937176</v>
      </c>
      <c r="N108" s="69">
        <f>(N99-SUM(Assumptions!$D$19:$D$22))/Assumptions!$D$17*100</f>
        <v>-42.521011828937176</v>
      </c>
      <c r="O108" s="69">
        <f>(O99-SUM(Assumptions!$D$19:$D$22))/Assumptions!$D$17*100</f>
        <v>-42.521011828937176</v>
      </c>
      <c r="P108" s="69">
        <f>(P99-SUM(Assumptions!$D$19:$D$22))/Assumptions!$D$17*100</f>
        <v>-42.521011828937176</v>
      </c>
      <c r="Q108" s="70">
        <f>(Q99-SUM(Assumptions!$D$19:$D$22))/Assumptions!$D$17*100</f>
        <v>-42.521011828937176</v>
      </c>
    </row>
    <row r="110" spans="4:20">
      <c r="D110" s="88" t="s">
        <v>13</v>
      </c>
      <c r="E110" s="90"/>
      <c r="F110" s="91"/>
      <c r="G110" s="89"/>
      <c r="H110" s="90"/>
      <c r="I110" s="91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243"/>
    </row>
    <row r="111" spans="4:20">
      <c r="D111" s="71" t="str">
        <f>TEXT(Assumptions!$D$11,"mmmm")&amp;" YE ($mm)"</f>
        <v>March YE ($mm)</v>
      </c>
      <c r="E111" s="99"/>
      <c r="F111" s="100">
        <f t="shared" ref="F111:S111" si="13">F22</f>
        <v>43190</v>
      </c>
      <c r="G111" s="100">
        <f t="shared" si="13"/>
        <v>43555</v>
      </c>
      <c r="H111" s="139">
        <f t="shared" si="13"/>
        <v>43921</v>
      </c>
      <c r="I111" s="139">
        <f t="shared" si="13"/>
        <v>44286</v>
      </c>
      <c r="J111" s="139">
        <f t="shared" si="13"/>
        <v>44651</v>
      </c>
      <c r="K111" s="139">
        <f t="shared" si="13"/>
        <v>45016</v>
      </c>
      <c r="L111" s="139">
        <f t="shared" si="13"/>
        <v>45382</v>
      </c>
      <c r="M111" s="139">
        <f t="shared" si="13"/>
        <v>45747</v>
      </c>
      <c r="N111" s="139">
        <f t="shared" si="13"/>
        <v>46112</v>
      </c>
      <c r="O111" s="139">
        <f t="shared" si="13"/>
        <v>46477</v>
      </c>
      <c r="P111" s="139">
        <f t="shared" si="13"/>
        <v>46843</v>
      </c>
      <c r="Q111" s="139">
        <f t="shared" si="13"/>
        <v>47208</v>
      </c>
      <c r="R111" s="139">
        <f t="shared" si="13"/>
        <v>47573</v>
      </c>
      <c r="S111" s="139">
        <f t="shared" si="13"/>
        <v>47938</v>
      </c>
      <c r="T111" s="139"/>
    </row>
    <row r="112" spans="4:20">
      <c r="D112" s="38" t="s">
        <v>3</v>
      </c>
      <c r="E112" s="93"/>
      <c r="F112" s="115">
        <f t="shared" ref="F112:S112" si="14">F27</f>
        <v>0</v>
      </c>
      <c r="G112" s="115">
        <f t="shared" si="14"/>
        <v>0</v>
      </c>
      <c r="H112" s="115">
        <f t="shared" si="14"/>
        <v>0</v>
      </c>
      <c r="I112" s="115">
        <f t="shared" si="14"/>
        <v>0</v>
      </c>
      <c r="J112" s="115">
        <f t="shared" si="14"/>
        <v>0</v>
      </c>
      <c r="K112" s="115">
        <f t="shared" si="14"/>
        <v>0</v>
      </c>
      <c r="L112" s="115">
        <f t="shared" si="14"/>
        <v>0</v>
      </c>
      <c r="M112" s="115">
        <f t="shared" si="14"/>
        <v>0</v>
      </c>
      <c r="N112" s="115">
        <f t="shared" si="14"/>
        <v>0</v>
      </c>
      <c r="O112" s="115">
        <f t="shared" si="14"/>
        <v>0</v>
      </c>
      <c r="P112" s="115">
        <f t="shared" si="14"/>
        <v>0</v>
      </c>
      <c r="Q112" s="115">
        <f t="shared" si="14"/>
        <v>0</v>
      </c>
      <c r="R112" s="115">
        <f t="shared" si="14"/>
        <v>0</v>
      </c>
      <c r="S112" s="115">
        <f t="shared" si="14"/>
        <v>0</v>
      </c>
      <c r="T112" s="115"/>
    </row>
    <row r="113" spans="4:20">
      <c r="D113" s="39" t="s">
        <v>1</v>
      </c>
      <c r="E113" s="94"/>
      <c r="F113" s="117" t="e">
        <f>F112/F$24</f>
        <v>#DIV/0!</v>
      </c>
      <c r="G113" s="117" t="e">
        <f t="shared" ref="G113:R113" si="15">G112/G$24</f>
        <v>#DIV/0!</v>
      </c>
      <c r="H113" s="117" t="e">
        <f t="shared" si="15"/>
        <v>#DIV/0!</v>
      </c>
      <c r="I113" s="117" t="e">
        <f t="shared" si="15"/>
        <v>#DIV/0!</v>
      </c>
      <c r="J113" s="117" t="e">
        <f t="shared" si="15"/>
        <v>#DIV/0!</v>
      </c>
      <c r="K113" s="117" t="e">
        <f t="shared" si="15"/>
        <v>#DIV/0!</v>
      </c>
      <c r="L113" s="117" t="e">
        <f t="shared" si="15"/>
        <v>#DIV/0!</v>
      </c>
      <c r="M113" s="117" t="e">
        <f t="shared" si="15"/>
        <v>#DIV/0!</v>
      </c>
      <c r="N113" s="117" t="e">
        <f t="shared" si="15"/>
        <v>#DIV/0!</v>
      </c>
      <c r="O113" s="117" t="e">
        <f t="shared" si="15"/>
        <v>#DIV/0!</v>
      </c>
      <c r="P113" s="117" t="e">
        <f t="shared" si="15"/>
        <v>#DIV/0!</v>
      </c>
      <c r="Q113" s="117" t="e">
        <f t="shared" si="15"/>
        <v>#DIV/0!</v>
      </c>
      <c r="R113" s="117" t="e">
        <f t="shared" si="15"/>
        <v>#DIV/0!</v>
      </c>
      <c r="S113" s="117" t="e">
        <f t="shared" ref="S113" si="16">S112/S$24</f>
        <v>#DIV/0!</v>
      </c>
      <c r="T113" s="117"/>
    </row>
    <row r="114" spans="4:20">
      <c r="D114" s="38" t="s">
        <v>4</v>
      </c>
      <c r="E114" s="94"/>
      <c r="F114" s="116">
        <f t="shared" ref="F114:S114" si="17">F46</f>
        <v>0</v>
      </c>
      <c r="G114" s="116">
        <f t="shared" si="17"/>
        <v>0</v>
      </c>
      <c r="H114" s="116">
        <f t="shared" si="17"/>
        <v>0</v>
      </c>
      <c r="I114" s="116">
        <f t="shared" si="17"/>
        <v>0</v>
      </c>
      <c r="J114" s="116">
        <f t="shared" si="17"/>
        <v>0</v>
      </c>
      <c r="K114" s="116">
        <f t="shared" si="17"/>
        <v>0</v>
      </c>
      <c r="L114" s="116">
        <f t="shared" si="17"/>
        <v>0</v>
      </c>
      <c r="M114" s="116">
        <f t="shared" si="17"/>
        <v>0</v>
      </c>
      <c r="N114" s="116">
        <f t="shared" si="17"/>
        <v>0</v>
      </c>
      <c r="O114" s="116">
        <f t="shared" si="17"/>
        <v>0</v>
      </c>
      <c r="P114" s="116">
        <f t="shared" si="17"/>
        <v>0</v>
      </c>
      <c r="Q114" s="116">
        <f t="shared" si="17"/>
        <v>0</v>
      </c>
      <c r="R114" s="116">
        <f t="shared" si="17"/>
        <v>0</v>
      </c>
      <c r="S114" s="116">
        <f t="shared" si="17"/>
        <v>0</v>
      </c>
      <c r="T114" s="116"/>
    </row>
    <row r="115" spans="4:20">
      <c r="D115" s="39" t="s">
        <v>37</v>
      </c>
      <c r="E115" s="94"/>
      <c r="F115" s="117" t="e">
        <f t="shared" ref="F115:S115" si="18">-F114/F48</f>
        <v>#DIV/0!</v>
      </c>
      <c r="G115" s="117" t="e">
        <f t="shared" si="18"/>
        <v>#DIV/0!</v>
      </c>
      <c r="H115" s="117" t="e">
        <f t="shared" si="18"/>
        <v>#DIV/0!</v>
      </c>
      <c r="I115" s="117" t="e">
        <f t="shared" si="18"/>
        <v>#DIV/0!</v>
      </c>
      <c r="J115" s="117" t="e">
        <f t="shared" si="18"/>
        <v>#DIV/0!</v>
      </c>
      <c r="K115" s="117" t="e">
        <f t="shared" si="18"/>
        <v>#DIV/0!</v>
      </c>
      <c r="L115" s="117" t="e">
        <f t="shared" si="18"/>
        <v>#DIV/0!</v>
      </c>
      <c r="M115" s="117" t="e">
        <f t="shared" si="18"/>
        <v>#DIV/0!</v>
      </c>
      <c r="N115" s="117" t="e">
        <f t="shared" si="18"/>
        <v>#DIV/0!</v>
      </c>
      <c r="O115" s="117" t="e">
        <f t="shared" si="18"/>
        <v>#DIV/0!</v>
      </c>
      <c r="P115" s="117" t="e">
        <f t="shared" si="18"/>
        <v>#DIV/0!</v>
      </c>
      <c r="Q115" s="117" t="e">
        <f t="shared" si="18"/>
        <v>#DIV/0!</v>
      </c>
      <c r="R115" s="117" t="e">
        <f t="shared" si="18"/>
        <v>#DIV/0!</v>
      </c>
      <c r="S115" s="117" t="e">
        <f t="shared" si="18"/>
        <v>#DIV/0!</v>
      </c>
      <c r="T115" s="117"/>
    </row>
    <row r="116" spans="4:20" ht="12.75" customHeight="1">
      <c r="D116" s="38" t="s">
        <v>5</v>
      </c>
      <c r="E116" s="92"/>
      <c r="F116" s="115">
        <f t="shared" ref="F116:S116" si="19">F35</f>
        <v>0</v>
      </c>
      <c r="G116" s="115">
        <f t="shared" si="19"/>
        <v>0</v>
      </c>
      <c r="H116" s="115">
        <f t="shared" si="19"/>
        <v>0</v>
      </c>
      <c r="I116" s="115">
        <f t="shared" si="19"/>
        <v>0</v>
      </c>
      <c r="J116" s="115">
        <f t="shared" si="19"/>
        <v>0</v>
      </c>
      <c r="K116" s="115">
        <f t="shared" si="19"/>
        <v>0</v>
      </c>
      <c r="L116" s="115">
        <f t="shared" si="19"/>
        <v>0</v>
      </c>
      <c r="M116" s="115">
        <f t="shared" si="19"/>
        <v>0</v>
      </c>
      <c r="N116" s="115">
        <f t="shared" si="19"/>
        <v>0</v>
      </c>
      <c r="O116" s="115">
        <f t="shared" si="19"/>
        <v>0</v>
      </c>
      <c r="P116" s="115">
        <f t="shared" si="19"/>
        <v>0</v>
      </c>
      <c r="Q116" s="115">
        <f t="shared" si="19"/>
        <v>0</v>
      </c>
      <c r="R116" s="115">
        <f t="shared" si="19"/>
        <v>0</v>
      </c>
      <c r="S116" s="115">
        <f t="shared" si="19"/>
        <v>0</v>
      </c>
      <c r="T116" s="115"/>
    </row>
    <row r="117" spans="4:20">
      <c r="D117" s="39" t="s">
        <v>1</v>
      </c>
      <c r="E117" s="95"/>
      <c r="F117" s="117" t="e">
        <f>F116/F$24</f>
        <v>#DIV/0!</v>
      </c>
      <c r="G117" s="117" t="e">
        <f t="shared" ref="G117:R117" si="20">G116/G$24</f>
        <v>#DIV/0!</v>
      </c>
      <c r="H117" s="117" t="e">
        <f t="shared" si="20"/>
        <v>#DIV/0!</v>
      </c>
      <c r="I117" s="117" t="e">
        <f t="shared" si="20"/>
        <v>#DIV/0!</v>
      </c>
      <c r="J117" s="117" t="e">
        <f t="shared" si="20"/>
        <v>#DIV/0!</v>
      </c>
      <c r="K117" s="117" t="e">
        <f t="shared" si="20"/>
        <v>#DIV/0!</v>
      </c>
      <c r="L117" s="117" t="e">
        <f t="shared" si="20"/>
        <v>#DIV/0!</v>
      </c>
      <c r="M117" s="117" t="e">
        <f t="shared" si="20"/>
        <v>#DIV/0!</v>
      </c>
      <c r="N117" s="117" t="e">
        <f t="shared" si="20"/>
        <v>#DIV/0!</v>
      </c>
      <c r="O117" s="117" t="e">
        <f t="shared" si="20"/>
        <v>#DIV/0!</v>
      </c>
      <c r="P117" s="117" t="e">
        <f t="shared" si="20"/>
        <v>#DIV/0!</v>
      </c>
      <c r="Q117" s="117" t="e">
        <f t="shared" si="20"/>
        <v>#DIV/0!</v>
      </c>
      <c r="R117" s="117" t="e">
        <f t="shared" si="20"/>
        <v>#DIV/0!</v>
      </c>
      <c r="S117" s="117" t="e">
        <f t="shared" ref="S117" si="21">S116/S$24</f>
        <v>#DIV/0!</v>
      </c>
      <c r="T117" s="117"/>
    </row>
    <row r="118" spans="4:20">
      <c r="D118" s="38" t="s">
        <v>10</v>
      </c>
      <c r="E118" s="95"/>
      <c r="F118" s="116">
        <f t="shared" ref="F118:S118" si="22">F39</f>
        <v>0</v>
      </c>
      <c r="G118" s="116">
        <f t="shared" si="22"/>
        <v>0</v>
      </c>
      <c r="H118" s="116">
        <f t="shared" si="22"/>
        <v>0</v>
      </c>
      <c r="I118" s="116">
        <f t="shared" si="22"/>
        <v>0</v>
      </c>
      <c r="J118" s="116">
        <f t="shared" si="22"/>
        <v>0</v>
      </c>
      <c r="K118" s="116">
        <f t="shared" si="22"/>
        <v>0</v>
      </c>
      <c r="L118" s="116">
        <f t="shared" si="22"/>
        <v>0</v>
      </c>
      <c r="M118" s="116">
        <f t="shared" si="22"/>
        <v>0</v>
      </c>
      <c r="N118" s="116">
        <f t="shared" si="22"/>
        <v>0</v>
      </c>
      <c r="O118" s="116">
        <f t="shared" si="22"/>
        <v>0</v>
      </c>
      <c r="P118" s="116">
        <f t="shared" si="22"/>
        <v>0</v>
      </c>
      <c r="Q118" s="116">
        <f t="shared" si="22"/>
        <v>0</v>
      </c>
      <c r="R118" s="116">
        <f t="shared" si="22"/>
        <v>0</v>
      </c>
      <c r="S118" s="116">
        <f t="shared" si="22"/>
        <v>0</v>
      </c>
      <c r="T118" s="116"/>
    </row>
    <row r="119" spans="4:20">
      <c r="D119" s="39" t="s">
        <v>65</v>
      </c>
      <c r="E119" s="95"/>
      <c r="F119" s="117">
        <f t="shared" ref="F119:S119" si="23">F40</f>
        <v>0</v>
      </c>
      <c r="G119" s="117">
        <f t="shared" si="23"/>
        <v>0</v>
      </c>
      <c r="H119" s="117">
        <f t="shared" si="23"/>
        <v>0</v>
      </c>
      <c r="I119" s="117">
        <f t="shared" si="23"/>
        <v>0</v>
      </c>
      <c r="J119" s="117">
        <f t="shared" si="23"/>
        <v>0</v>
      </c>
      <c r="K119" s="117">
        <f t="shared" si="23"/>
        <v>0</v>
      </c>
      <c r="L119" s="117">
        <f t="shared" si="23"/>
        <v>0</v>
      </c>
      <c r="M119" s="117">
        <f t="shared" si="23"/>
        <v>0</v>
      </c>
      <c r="N119" s="117">
        <f t="shared" si="23"/>
        <v>0</v>
      </c>
      <c r="O119" s="117">
        <f t="shared" si="23"/>
        <v>0</v>
      </c>
      <c r="P119" s="117">
        <f t="shared" si="23"/>
        <v>0</v>
      </c>
      <c r="Q119" s="117">
        <f t="shared" si="23"/>
        <v>0</v>
      </c>
      <c r="R119" s="117">
        <f t="shared" si="23"/>
        <v>0</v>
      </c>
      <c r="S119" s="117">
        <f t="shared" si="23"/>
        <v>0</v>
      </c>
      <c r="T119" s="117"/>
    </row>
    <row r="120" spans="4:20">
      <c r="D120" s="38" t="s">
        <v>38</v>
      </c>
      <c r="E120" s="95"/>
      <c r="F120" s="116">
        <f t="shared" ref="F120:S120" si="24">F42</f>
        <v>0</v>
      </c>
      <c r="G120" s="116">
        <f t="shared" si="24"/>
        <v>0</v>
      </c>
      <c r="H120" s="116">
        <f t="shared" si="24"/>
        <v>0</v>
      </c>
      <c r="I120" s="116">
        <f t="shared" si="24"/>
        <v>0</v>
      </c>
      <c r="J120" s="116">
        <f t="shared" si="24"/>
        <v>0</v>
      </c>
      <c r="K120" s="116">
        <f t="shared" si="24"/>
        <v>0</v>
      </c>
      <c r="L120" s="116">
        <f t="shared" si="24"/>
        <v>0</v>
      </c>
      <c r="M120" s="116">
        <f t="shared" si="24"/>
        <v>0</v>
      </c>
      <c r="N120" s="116">
        <f t="shared" si="24"/>
        <v>0</v>
      </c>
      <c r="O120" s="116">
        <f t="shared" si="24"/>
        <v>0</v>
      </c>
      <c r="P120" s="116">
        <f t="shared" si="24"/>
        <v>0</v>
      </c>
      <c r="Q120" s="116">
        <f t="shared" si="24"/>
        <v>0</v>
      </c>
      <c r="R120" s="116">
        <f t="shared" si="24"/>
        <v>0</v>
      </c>
      <c r="S120" s="116">
        <f t="shared" si="24"/>
        <v>0</v>
      </c>
      <c r="T120" s="116"/>
    </row>
    <row r="121" spans="4:20">
      <c r="D121" s="106" t="s">
        <v>71</v>
      </c>
      <c r="E121" s="95"/>
      <c r="F121" s="116">
        <f t="shared" ref="F121:S121" si="25">-F31</f>
        <v>0</v>
      </c>
      <c r="G121" s="116">
        <f t="shared" si="25"/>
        <v>0</v>
      </c>
      <c r="H121" s="116">
        <f t="shared" si="25"/>
        <v>0</v>
      </c>
      <c r="I121" s="116">
        <f t="shared" si="25"/>
        <v>0</v>
      </c>
      <c r="J121" s="116">
        <f t="shared" si="25"/>
        <v>0</v>
      </c>
      <c r="K121" s="116">
        <f t="shared" si="25"/>
        <v>0</v>
      </c>
      <c r="L121" s="116">
        <f t="shared" si="25"/>
        <v>0</v>
      </c>
      <c r="M121" s="116">
        <f t="shared" si="25"/>
        <v>0</v>
      </c>
      <c r="N121" s="116">
        <f t="shared" si="25"/>
        <v>0</v>
      </c>
      <c r="O121" s="116">
        <f t="shared" si="25"/>
        <v>0</v>
      </c>
      <c r="P121" s="116">
        <f t="shared" si="25"/>
        <v>0</v>
      </c>
      <c r="Q121" s="116">
        <f t="shared" si="25"/>
        <v>0</v>
      </c>
      <c r="R121" s="116">
        <f t="shared" si="25"/>
        <v>0</v>
      </c>
      <c r="S121" s="116">
        <f t="shared" si="25"/>
        <v>0</v>
      </c>
      <c r="T121" s="116"/>
    </row>
    <row r="122" spans="4:20">
      <c r="D122" s="106" t="s">
        <v>129</v>
      </c>
      <c r="E122" s="95"/>
      <c r="F122" s="116">
        <f t="shared" ref="F122:S122" si="26">F48</f>
        <v>0</v>
      </c>
      <c r="G122" s="116">
        <f t="shared" si="26"/>
        <v>0</v>
      </c>
      <c r="H122" s="116">
        <f t="shared" si="26"/>
        <v>0</v>
      </c>
      <c r="I122" s="116">
        <f t="shared" si="26"/>
        <v>0</v>
      </c>
      <c r="J122" s="116">
        <f t="shared" si="26"/>
        <v>0</v>
      </c>
      <c r="K122" s="116">
        <f t="shared" si="26"/>
        <v>0</v>
      </c>
      <c r="L122" s="116">
        <f t="shared" si="26"/>
        <v>0</v>
      </c>
      <c r="M122" s="116">
        <f t="shared" si="26"/>
        <v>0</v>
      </c>
      <c r="N122" s="116">
        <f t="shared" si="26"/>
        <v>0</v>
      </c>
      <c r="O122" s="116">
        <f t="shared" si="26"/>
        <v>0</v>
      </c>
      <c r="P122" s="116">
        <f t="shared" si="26"/>
        <v>0</v>
      </c>
      <c r="Q122" s="116">
        <f t="shared" si="26"/>
        <v>0</v>
      </c>
      <c r="R122" s="116">
        <f t="shared" si="26"/>
        <v>0</v>
      </c>
      <c r="S122" s="116">
        <f t="shared" si="26"/>
        <v>0</v>
      </c>
      <c r="T122" s="116"/>
    </row>
    <row r="123" spans="4:20">
      <c r="D123" s="106" t="s">
        <v>72</v>
      </c>
      <c r="E123" s="95"/>
      <c r="F123" s="116">
        <f t="shared" ref="F123:S123" si="27">F52</f>
        <v>0</v>
      </c>
      <c r="G123" s="116">
        <f t="shared" si="27"/>
        <v>0</v>
      </c>
      <c r="H123" s="115">
        <f t="shared" si="27"/>
        <v>0</v>
      </c>
      <c r="I123" s="115">
        <f t="shared" si="27"/>
        <v>0</v>
      </c>
      <c r="J123" s="115">
        <f t="shared" si="27"/>
        <v>0</v>
      </c>
      <c r="K123" s="115">
        <f t="shared" si="27"/>
        <v>0</v>
      </c>
      <c r="L123" s="115">
        <f t="shared" si="27"/>
        <v>0</v>
      </c>
      <c r="M123" s="115">
        <f t="shared" si="27"/>
        <v>0</v>
      </c>
      <c r="N123" s="115">
        <f t="shared" si="27"/>
        <v>0</v>
      </c>
      <c r="O123" s="115">
        <f t="shared" si="27"/>
        <v>0</v>
      </c>
      <c r="P123" s="115">
        <f t="shared" si="27"/>
        <v>0</v>
      </c>
      <c r="Q123" s="115">
        <f t="shared" si="27"/>
        <v>0</v>
      </c>
      <c r="R123" s="115">
        <f t="shared" si="27"/>
        <v>0</v>
      </c>
      <c r="S123" s="115">
        <f t="shared" si="27"/>
        <v>0</v>
      </c>
      <c r="T123" s="115"/>
    </row>
    <row r="124" spans="4:20">
      <c r="D124" s="106" t="s">
        <v>130</v>
      </c>
      <c r="E124" s="95"/>
      <c r="F124" s="116">
        <f t="shared" ref="F124:S124" si="28">+F58</f>
        <v>0</v>
      </c>
      <c r="G124" s="116">
        <f t="shared" si="28"/>
        <v>0</v>
      </c>
      <c r="H124" s="116">
        <f t="shared" si="28"/>
        <v>0</v>
      </c>
      <c r="I124" s="116">
        <f t="shared" si="28"/>
        <v>0</v>
      </c>
      <c r="J124" s="116">
        <f t="shared" si="28"/>
        <v>0</v>
      </c>
      <c r="K124" s="116">
        <f t="shared" si="28"/>
        <v>0</v>
      </c>
      <c r="L124" s="116">
        <f t="shared" si="28"/>
        <v>0</v>
      </c>
      <c r="M124" s="116">
        <f t="shared" si="28"/>
        <v>0</v>
      </c>
      <c r="N124" s="116">
        <f t="shared" si="28"/>
        <v>0</v>
      </c>
      <c r="O124" s="116">
        <f t="shared" si="28"/>
        <v>0</v>
      </c>
      <c r="P124" s="116">
        <f t="shared" si="28"/>
        <v>0</v>
      </c>
      <c r="Q124" s="116">
        <f t="shared" si="28"/>
        <v>0</v>
      </c>
      <c r="R124" s="116">
        <f t="shared" si="28"/>
        <v>0</v>
      </c>
      <c r="S124" s="116">
        <f t="shared" si="28"/>
        <v>0</v>
      </c>
      <c r="T124" s="115"/>
    </row>
    <row r="125" spans="4:20">
      <c r="D125" s="106" t="s">
        <v>131</v>
      </c>
      <c r="E125" s="95"/>
      <c r="F125" s="116">
        <f t="shared" ref="F125:S125" si="29">+F55</f>
        <v>0</v>
      </c>
      <c r="G125" s="116">
        <f t="shared" si="29"/>
        <v>0</v>
      </c>
      <c r="H125" s="116">
        <f t="shared" si="29"/>
        <v>0</v>
      </c>
      <c r="I125" s="116">
        <f t="shared" si="29"/>
        <v>0</v>
      </c>
      <c r="J125" s="116">
        <f t="shared" si="29"/>
        <v>0</v>
      </c>
      <c r="K125" s="116">
        <f t="shared" si="29"/>
        <v>0</v>
      </c>
      <c r="L125" s="116">
        <f t="shared" si="29"/>
        <v>0</v>
      </c>
      <c r="M125" s="116">
        <f t="shared" si="29"/>
        <v>0</v>
      </c>
      <c r="N125" s="116">
        <f t="shared" si="29"/>
        <v>0</v>
      </c>
      <c r="O125" s="116">
        <f t="shared" si="29"/>
        <v>0</v>
      </c>
      <c r="P125" s="116">
        <f t="shared" si="29"/>
        <v>0</v>
      </c>
      <c r="Q125" s="116">
        <f t="shared" si="29"/>
        <v>0</v>
      </c>
      <c r="R125" s="116">
        <f t="shared" si="29"/>
        <v>0</v>
      </c>
      <c r="S125" s="116">
        <f t="shared" si="29"/>
        <v>0</v>
      </c>
      <c r="T125" s="115"/>
    </row>
    <row r="126" spans="4:20">
      <c r="D126" s="39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</row>
    <row r="127" spans="4:20">
      <c r="D127" s="97" t="s">
        <v>40</v>
      </c>
      <c r="E127" s="98"/>
      <c r="F127" s="124">
        <f>SUM(F120:F125)</f>
        <v>0</v>
      </c>
      <c r="G127" s="124">
        <f t="shared" ref="G127:S127" si="30">SUM(G120:G125)</f>
        <v>0</v>
      </c>
      <c r="H127" s="124">
        <f t="shared" si="30"/>
        <v>0</v>
      </c>
      <c r="I127" s="124">
        <f t="shared" si="30"/>
        <v>0</v>
      </c>
      <c r="J127" s="124">
        <f>SUM(J120:J125)</f>
        <v>0</v>
      </c>
      <c r="K127" s="124">
        <f t="shared" si="30"/>
        <v>0</v>
      </c>
      <c r="L127" s="124">
        <f t="shared" si="30"/>
        <v>0</v>
      </c>
      <c r="M127" s="124">
        <f t="shared" si="30"/>
        <v>0</v>
      </c>
      <c r="N127" s="124">
        <f t="shared" si="30"/>
        <v>0</v>
      </c>
      <c r="O127" s="124">
        <f t="shared" si="30"/>
        <v>0</v>
      </c>
      <c r="P127" s="124">
        <f t="shared" si="30"/>
        <v>0</v>
      </c>
      <c r="Q127" s="124">
        <f t="shared" si="30"/>
        <v>0</v>
      </c>
      <c r="R127" s="124">
        <f t="shared" si="30"/>
        <v>0</v>
      </c>
      <c r="S127" s="124">
        <f t="shared" si="30"/>
        <v>0</v>
      </c>
      <c r="T127" s="124"/>
    </row>
  </sheetData>
  <pageMargins left="0.7" right="0.7" top="0.75" bottom="0.75" header="0.3" footer="0.3"/>
  <pageSetup paperSize="9" scale="35" orientation="portrait" r:id="rId1"/>
  <customProperties>
    <customPr name="Worksheet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min="1" max="2" width="2.6640625" style="162" customWidth="1"/>
    <col min="3" max="5" width="12" style="162" customWidth="1"/>
    <col min="6" max="7" width="9.1640625" style="162"/>
    <col min="8" max="8" width="0.83203125" style="162" customWidth="1"/>
    <col min="9" max="19" width="12.6640625" style="162" customWidth="1"/>
    <col min="20" max="253" width="9.1640625" style="162"/>
    <col min="254" max="255" width="2.6640625" style="162" customWidth="1"/>
    <col min="256" max="258" width="12" style="162" customWidth="1"/>
    <col min="259" max="260" width="9.1640625" style="162"/>
    <col min="261" max="261" width="0.83203125" style="162" customWidth="1"/>
    <col min="262" max="275" width="7.6640625" style="162" customWidth="1"/>
    <col min="276" max="509" width="9.1640625" style="162"/>
    <col min="510" max="511" width="2.6640625" style="162" customWidth="1"/>
    <col min="512" max="514" width="12" style="162" customWidth="1"/>
    <col min="515" max="516" width="9.1640625" style="162"/>
    <col min="517" max="517" width="0.83203125" style="162" customWidth="1"/>
    <col min="518" max="531" width="7.6640625" style="162" customWidth="1"/>
    <col min="532" max="765" width="9.1640625" style="162"/>
    <col min="766" max="767" width="2.6640625" style="162" customWidth="1"/>
    <col min="768" max="770" width="12" style="162" customWidth="1"/>
    <col min="771" max="772" width="9.1640625" style="162"/>
    <col min="773" max="773" width="0.83203125" style="162" customWidth="1"/>
    <col min="774" max="787" width="7.6640625" style="162" customWidth="1"/>
    <col min="788" max="1021" width="9.1640625" style="162"/>
    <col min="1022" max="1023" width="2.6640625" style="162" customWidth="1"/>
    <col min="1024" max="1026" width="12" style="162" customWidth="1"/>
    <col min="1027" max="1028" width="9.1640625" style="162"/>
    <col min="1029" max="1029" width="0.83203125" style="162" customWidth="1"/>
    <col min="1030" max="1043" width="7.6640625" style="162" customWidth="1"/>
    <col min="1044" max="1277" width="9.1640625" style="162"/>
    <col min="1278" max="1279" width="2.6640625" style="162" customWidth="1"/>
    <col min="1280" max="1282" width="12" style="162" customWidth="1"/>
    <col min="1283" max="1284" width="9.1640625" style="162"/>
    <col min="1285" max="1285" width="0.83203125" style="162" customWidth="1"/>
    <col min="1286" max="1299" width="7.6640625" style="162" customWidth="1"/>
    <col min="1300" max="1533" width="9.1640625" style="162"/>
    <col min="1534" max="1535" width="2.6640625" style="162" customWidth="1"/>
    <col min="1536" max="1538" width="12" style="162" customWidth="1"/>
    <col min="1539" max="1540" width="9.1640625" style="162"/>
    <col min="1541" max="1541" width="0.83203125" style="162" customWidth="1"/>
    <col min="1542" max="1555" width="7.6640625" style="162" customWidth="1"/>
    <col min="1556" max="1789" width="9.1640625" style="162"/>
    <col min="1790" max="1791" width="2.6640625" style="162" customWidth="1"/>
    <col min="1792" max="1794" width="12" style="162" customWidth="1"/>
    <col min="1795" max="1796" width="9.1640625" style="162"/>
    <col min="1797" max="1797" width="0.83203125" style="162" customWidth="1"/>
    <col min="1798" max="1811" width="7.6640625" style="162" customWidth="1"/>
    <col min="1812" max="2045" width="9.1640625" style="162"/>
    <col min="2046" max="2047" width="2.6640625" style="162" customWidth="1"/>
    <col min="2048" max="2050" width="12" style="162" customWidth="1"/>
    <col min="2051" max="2052" width="9.1640625" style="162"/>
    <col min="2053" max="2053" width="0.83203125" style="162" customWidth="1"/>
    <col min="2054" max="2067" width="7.6640625" style="162" customWidth="1"/>
    <col min="2068" max="2301" width="9.1640625" style="162"/>
    <col min="2302" max="2303" width="2.6640625" style="162" customWidth="1"/>
    <col min="2304" max="2306" width="12" style="162" customWidth="1"/>
    <col min="2307" max="2308" width="9.1640625" style="162"/>
    <col min="2309" max="2309" width="0.83203125" style="162" customWidth="1"/>
    <col min="2310" max="2323" width="7.6640625" style="162" customWidth="1"/>
    <col min="2324" max="2557" width="9.1640625" style="162"/>
    <col min="2558" max="2559" width="2.6640625" style="162" customWidth="1"/>
    <col min="2560" max="2562" width="12" style="162" customWidth="1"/>
    <col min="2563" max="2564" width="9.1640625" style="162"/>
    <col min="2565" max="2565" width="0.83203125" style="162" customWidth="1"/>
    <col min="2566" max="2579" width="7.6640625" style="162" customWidth="1"/>
    <col min="2580" max="2813" width="9.1640625" style="162"/>
    <col min="2814" max="2815" width="2.6640625" style="162" customWidth="1"/>
    <col min="2816" max="2818" width="12" style="162" customWidth="1"/>
    <col min="2819" max="2820" width="9.1640625" style="162"/>
    <col min="2821" max="2821" width="0.83203125" style="162" customWidth="1"/>
    <col min="2822" max="2835" width="7.6640625" style="162" customWidth="1"/>
    <col min="2836" max="3069" width="9.1640625" style="162"/>
    <col min="3070" max="3071" width="2.6640625" style="162" customWidth="1"/>
    <col min="3072" max="3074" width="12" style="162" customWidth="1"/>
    <col min="3075" max="3076" width="9.1640625" style="162"/>
    <col min="3077" max="3077" width="0.83203125" style="162" customWidth="1"/>
    <col min="3078" max="3091" width="7.6640625" style="162" customWidth="1"/>
    <col min="3092" max="3325" width="9.1640625" style="162"/>
    <col min="3326" max="3327" width="2.6640625" style="162" customWidth="1"/>
    <col min="3328" max="3330" width="12" style="162" customWidth="1"/>
    <col min="3331" max="3332" width="9.1640625" style="162"/>
    <col min="3333" max="3333" width="0.83203125" style="162" customWidth="1"/>
    <col min="3334" max="3347" width="7.6640625" style="162" customWidth="1"/>
    <col min="3348" max="3581" width="9.1640625" style="162"/>
    <col min="3582" max="3583" width="2.6640625" style="162" customWidth="1"/>
    <col min="3584" max="3586" width="12" style="162" customWidth="1"/>
    <col min="3587" max="3588" width="9.1640625" style="162"/>
    <col min="3589" max="3589" width="0.83203125" style="162" customWidth="1"/>
    <col min="3590" max="3603" width="7.6640625" style="162" customWidth="1"/>
    <col min="3604" max="3837" width="9.1640625" style="162"/>
    <col min="3838" max="3839" width="2.6640625" style="162" customWidth="1"/>
    <col min="3840" max="3842" width="12" style="162" customWidth="1"/>
    <col min="3843" max="3844" width="9.1640625" style="162"/>
    <col min="3845" max="3845" width="0.83203125" style="162" customWidth="1"/>
    <col min="3846" max="3859" width="7.6640625" style="162" customWidth="1"/>
    <col min="3860" max="4093" width="9.1640625" style="162"/>
    <col min="4094" max="4095" width="2.6640625" style="162" customWidth="1"/>
    <col min="4096" max="4098" width="12" style="162" customWidth="1"/>
    <col min="4099" max="4100" width="9.1640625" style="162"/>
    <col min="4101" max="4101" width="0.83203125" style="162" customWidth="1"/>
    <col min="4102" max="4115" width="7.6640625" style="162" customWidth="1"/>
    <col min="4116" max="4349" width="9.1640625" style="162"/>
    <col min="4350" max="4351" width="2.6640625" style="162" customWidth="1"/>
    <col min="4352" max="4354" width="12" style="162" customWidth="1"/>
    <col min="4355" max="4356" width="9.1640625" style="162"/>
    <col min="4357" max="4357" width="0.83203125" style="162" customWidth="1"/>
    <col min="4358" max="4371" width="7.6640625" style="162" customWidth="1"/>
    <col min="4372" max="4605" width="9.1640625" style="162"/>
    <col min="4606" max="4607" width="2.6640625" style="162" customWidth="1"/>
    <col min="4608" max="4610" width="12" style="162" customWidth="1"/>
    <col min="4611" max="4612" width="9.1640625" style="162"/>
    <col min="4613" max="4613" width="0.83203125" style="162" customWidth="1"/>
    <col min="4614" max="4627" width="7.6640625" style="162" customWidth="1"/>
    <col min="4628" max="4861" width="9.1640625" style="162"/>
    <col min="4862" max="4863" width="2.6640625" style="162" customWidth="1"/>
    <col min="4864" max="4866" width="12" style="162" customWidth="1"/>
    <col min="4867" max="4868" width="9.1640625" style="162"/>
    <col min="4869" max="4869" width="0.83203125" style="162" customWidth="1"/>
    <col min="4870" max="4883" width="7.6640625" style="162" customWidth="1"/>
    <col min="4884" max="5117" width="9.1640625" style="162"/>
    <col min="5118" max="5119" width="2.6640625" style="162" customWidth="1"/>
    <col min="5120" max="5122" width="12" style="162" customWidth="1"/>
    <col min="5123" max="5124" width="9.1640625" style="162"/>
    <col min="5125" max="5125" width="0.83203125" style="162" customWidth="1"/>
    <col min="5126" max="5139" width="7.6640625" style="162" customWidth="1"/>
    <col min="5140" max="5373" width="9.1640625" style="162"/>
    <col min="5374" max="5375" width="2.6640625" style="162" customWidth="1"/>
    <col min="5376" max="5378" width="12" style="162" customWidth="1"/>
    <col min="5379" max="5380" width="9.1640625" style="162"/>
    <col min="5381" max="5381" width="0.83203125" style="162" customWidth="1"/>
    <col min="5382" max="5395" width="7.6640625" style="162" customWidth="1"/>
    <col min="5396" max="5629" width="9.1640625" style="162"/>
    <col min="5630" max="5631" width="2.6640625" style="162" customWidth="1"/>
    <col min="5632" max="5634" width="12" style="162" customWidth="1"/>
    <col min="5635" max="5636" width="9.1640625" style="162"/>
    <col min="5637" max="5637" width="0.83203125" style="162" customWidth="1"/>
    <col min="5638" max="5651" width="7.6640625" style="162" customWidth="1"/>
    <col min="5652" max="5885" width="9.1640625" style="162"/>
    <col min="5886" max="5887" width="2.6640625" style="162" customWidth="1"/>
    <col min="5888" max="5890" width="12" style="162" customWidth="1"/>
    <col min="5891" max="5892" width="9.1640625" style="162"/>
    <col min="5893" max="5893" width="0.83203125" style="162" customWidth="1"/>
    <col min="5894" max="5907" width="7.6640625" style="162" customWidth="1"/>
    <col min="5908" max="6141" width="9.1640625" style="162"/>
    <col min="6142" max="6143" width="2.6640625" style="162" customWidth="1"/>
    <col min="6144" max="6146" width="12" style="162" customWidth="1"/>
    <col min="6147" max="6148" width="9.1640625" style="162"/>
    <col min="6149" max="6149" width="0.83203125" style="162" customWidth="1"/>
    <col min="6150" max="6163" width="7.6640625" style="162" customWidth="1"/>
    <col min="6164" max="6397" width="9.1640625" style="162"/>
    <col min="6398" max="6399" width="2.6640625" style="162" customWidth="1"/>
    <col min="6400" max="6402" width="12" style="162" customWidth="1"/>
    <col min="6403" max="6404" width="9.1640625" style="162"/>
    <col min="6405" max="6405" width="0.83203125" style="162" customWidth="1"/>
    <col min="6406" max="6419" width="7.6640625" style="162" customWidth="1"/>
    <col min="6420" max="6653" width="9.1640625" style="162"/>
    <col min="6654" max="6655" width="2.6640625" style="162" customWidth="1"/>
    <col min="6656" max="6658" width="12" style="162" customWidth="1"/>
    <col min="6659" max="6660" width="9.1640625" style="162"/>
    <col min="6661" max="6661" width="0.83203125" style="162" customWidth="1"/>
    <col min="6662" max="6675" width="7.6640625" style="162" customWidth="1"/>
    <col min="6676" max="6909" width="9.1640625" style="162"/>
    <col min="6910" max="6911" width="2.6640625" style="162" customWidth="1"/>
    <col min="6912" max="6914" width="12" style="162" customWidth="1"/>
    <col min="6915" max="6916" width="9.1640625" style="162"/>
    <col min="6917" max="6917" width="0.83203125" style="162" customWidth="1"/>
    <col min="6918" max="6931" width="7.6640625" style="162" customWidth="1"/>
    <col min="6932" max="7165" width="9.1640625" style="162"/>
    <col min="7166" max="7167" width="2.6640625" style="162" customWidth="1"/>
    <col min="7168" max="7170" width="12" style="162" customWidth="1"/>
    <col min="7171" max="7172" width="9.1640625" style="162"/>
    <col min="7173" max="7173" width="0.83203125" style="162" customWidth="1"/>
    <col min="7174" max="7187" width="7.6640625" style="162" customWidth="1"/>
    <col min="7188" max="7421" width="9.1640625" style="162"/>
    <col min="7422" max="7423" width="2.6640625" style="162" customWidth="1"/>
    <col min="7424" max="7426" width="12" style="162" customWidth="1"/>
    <col min="7427" max="7428" width="9.1640625" style="162"/>
    <col min="7429" max="7429" width="0.83203125" style="162" customWidth="1"/>
    <col min="7430" max="7443" width="7.6640625" style="162" customWidth="1"/>
    <col min="7444" max="7677" width="9.1640625" style="162"/>
    <col min="7678" max="7679" width="2.6640625" style="162" customWidth="1"/>
    <col min="7680" max="7682" width="12" style="162" customWidth="1"/>
    <col min="7683" max="7684" width="9.1640625" style="162"/>
    <col min="7685" max="7685" width="0.83203125" style="162" customWidth="1"/>
    <col min="7686" max="7699" width="7.6640625" style="162" customWidth="1"/>
    <col min="7700" max="7933" width="9.1640625" style="162"/>
    <col min="7934" max="7935" width="2.6640625" style="162" customWidth="1"/>
    <col min="7936" max="7938" width="12" style="162" customWidth="1"/>
    <col min="7939" max="7940" width="9.1640625" style="162"/>
    <col min="7941" max="7941" width="0.83203125" style="162" customWidth="1"/>
    <col min="7942" max="7955" width="7.6640625" style="162" customWidth="1"/>
    <col min="7956" max="8189" width="9.1640625" style="162"/>
    <col min="8190" max="8191" width="2.6640625" style="162" customWidth="1"/>
    <col min="8192" max="8194" width="12" style="162" customWidth="1"/>
    <col min="8195" max="8196" width="9.1640625" style="162"/>
    <col min="8197" max="8197" width="0.83203125" style="162" customWidth="1"/>
    <col min="8198" max="8211" width="7.6640625" style="162" customWidth="1"/>
    <col min="8212" max="8445" width="9.1640625" style="162"/>
    <col min="8446" max="8447" width="2.6640625" style="162" customWidth="1"/>
    <col min="8448" max="8450" width="12" style="162" customWidth="1"/>
    <col min="8451" max="8452" width="9.1640625" style="162"/>
    <col min="8453" max="8453" width="0.83203125" style="162" customWidth="1"/>
    <col min="8454" max="8467" width="7.6640625" style="162" customWidth="1"/>
    <col min="8468" max="8701" width="9.1640625" style="162"/>
    <col min="8702" max="8703" width="2.6640625" style="162" customWidth="1"/>
    <col min="8704" max="8706" width="12" style="162" customWidth="1"/>
    <col min="8707" max="8708" width="9.1640625" style="162"/>
    <col min="8709" max="8709" width="0.83203125" style="162" customWidth="1"/>
    <col min="8710" max="8723" width="7.6640625" style="162" customWidth="1"/>
    <col min="8724" max="8957" width="9.1640625" style="162"/>
    <col min="8958" max="8959" width="2.6640625" style="162" customWidth="1"/>
    <col min="8960" max="8962" width="12" style="162" customWidth="1"/>
    <col min="8963" max="8964" width="9.1640625" style="162"/>
    <col min="8965" max="8965" width="0.83203125" style="162" customWidth="1"/>
    <col min="8966" max="8979" width="7.6640625" style="162" customWidth="1"/>
    <col min="8980" max="9213" width="9.1640625" style="162"/>
    <col min="9214" max="9215" width="2.6640625" style="162" customWidth="1"/>
    <col min="9216" max="9218" width="12" style="162" customWidth="1"/>
    <col min="9219" max="9220" width="9.1640625" style="162"/>
    <col min="9221" max="9221" width="0.83203125" style="162" customWidth="1"/>
    <col min="9222" max="9235" width="7.6640625" style="162" customWidth="1"/>
    <col min="9236" max="9469" width="9.1640625" style="162"/>
    <col min="9470" max="9471" width="2.6640625" style="162" customWidth="1"/>
    <col min="9472" max="9474" width="12" style="162" customWidth="1"/>
    <col min="9475" max="9476" width="9.1640625" style="162"/>
    <col min="9477" max="9477" width="0.83203125" style="162" customWidth="1"/>
    <col min="9478" max="9491" width="7.6640625" style="162" customWidth="1"/>
    <col min="9492" max="9725" width="9.1640625" style="162"/>
    <col min="9726" max="9727" width="2.6640625" style="162" customWidth="1"/>
    <col min="9728" max="9730" width="12" style="162" customWidth="1"/>
    <col min="9731" max="9732" width="9.1640625" style="162"/>
    <col min="9733" max="9733" width="0.83203125" style="162" customWidth="1"/>
    <col min="9734" max="9747" width="7.6640625" style="162" customWidth="1"/>
    <col min="9748" max="9981" width="9.1640625" style="162"/>
    <col min="9982" max="9983" width="2.6640625" style="162" customWidth="1"/>
    <col min="9984" max="9986" width="12" style="162" customWidth="1"/>
    <col min="9987" max="9988" width="9.1640625" style="162"/>
    <col min="9989" max="9989" width="0.83203125" style="162" customWidth="1"/>
    <col min="9990" max="10003" width="7.6640625" style="162" customWidth="1"/>
    <col min="10004" max="10237" width="9.1640625" style="162"/>
    <col min="10238" max="10239" width="2.6640625" style="162" customWidth="1"/>
    <col min="10240" max="10242" width="12" style="162" customWidth="1"/>
    <col min="10243" max="10244" width="9.1640625" style="162"/>
    <col min="10245" max="10245" width="0.83203125" style="162" customWidth="1"/>
    <col min="10246" max="10259" width="7.6640625" style="162" customWidth="1"/>
    <col min="10260" max="10493" width="9.1640625" style="162"/>
    <col min="10494" max="10495" width="2.6640625" style="162" customWidth="1"/>
    <col min="10496" max="10498" width="12" style="162" customWidth="1"/>
    <col min="10499" max="10500" width="9.1640625" style="162"/>
    <col min="10501" max="10501" width="0.83203125" style="162" customWidth="1"/>
    <col min="10502" max="10515" width="7.6640625" style="162" customWidth="1"/>
    <col min="10516" max="10749" width="9.1640625" style="162"/>
    <col min="10750" max="10751" width="2.6640625" style="162" customWidth="1"/>
    <col min="10752" max="10754" width="12" style="162" customWidth="1"/>
    <col min="10755" max="10756" width="9.1640625" style="162"/>
    <col min="10757" max="10757" width="0.83203125" style="162" customWidth="1"/>
    <col min="10758" max="10771" width="7.6640625" style="162" customWidth="1"/>
    <col min="10772" max="11005" width="9.1640625" style="162"/>
    <col min="11006" max="11007" width="2.6640625" style="162" customWidth="1"/>
    <col min="11008" max="11010" width="12" style="162" customWidth="1"/>
    <col min="11011" max="11012" width="9.1640625" style="162"/>
    <col min="11013" max="11013" width="0.83203125" style="162" customWidth="1"/>
    <col min="11014" max="11027" width="7.6640625" style="162" customWidth="1"/>
    <col min="11028" max="11261" width="9.1640625" style="162"/>
    <col min="11262" max="11263" width="2.6640625" style="162" customWidth="1"/>
    <col min="11264" max="11266" width="12" style="162" customWidth="1"/>
    <col min="11267" max="11268" width="9.1640625" style="162"/>
    <col min="11269" max="11269" width="0.83203125" style="162" customWidth="1"/>
    <col min="11270" max="11283" width="7.6640625" style="162" customWidth="1"/>
    <col min="11284" max="11517" width="9.1640625" style="162"/>
    <col min="11518" max="11519" width="2.6640625" style="162" customWidth="1"/>
    <col min="11520" max="11522" width="12" style="162" customWidth="1"/>
    <col min="11523" max="11524" width="9.1640625" style="162"/>
    <col min="11525" max="11525" width="0.83203125" style="162" customWidth="1"/>
    <col min="11526" max="11539" width="7.6640625" style="162" customWidth="1"/>
    <col min="11540" max="11773" width="9.1640625" style="162"/>
    <col min="11774" max="11775" width="2.6640625" style="162" customWidth="1"/>
    <col min="11776" max="11778" width="12" style="162" customWidth="1"/>
    <col min="11779" max="11780" width="9.1640625" style="162"/>
    <col min="11781" max="11781" width="0.83203125" style="162" customWidth="1"/>
    <col min="11782" max="11795" width="7.6640625" style="162" customWidth="1"/>
    <col min="11796" max="12029" width="9.1640625" style="162"/>
    <col min="12030" max="12031" width="2.6640625" style="162" customWidth="1"/>
    <col min="12032" max="12034" width="12" style="162" customWidth="1"/>
    <col min="12035" max="12036" width="9.1640625" style="162"/>
    <col min="12037" max="12037" width="0.83203125" style="162" customWidth="1"/>
    <col min="12038" max="12051" width="7.6640625" style="162" customWidth="1"/>
    <col min="12052" max="12285" width="9.1640625" style="162"/>
    <col min="12286" max="12287" width="2.6640625" style="162" customWidth="1"/>
    <col min="12288" max="12290" width="12" style="162" customWidth="1"/>
    <col min="12291" max="12292" width="9.1640625" style="162"/>
    <col min="12293" max="12293" width="0.83203125" style="162" customWidth="1"/>
    <col min="12294" max="12307" width="7.6640625" style="162" customWidth="1"/>
    <col min="12308" max="12541" width="9.1640625" style="162"/>
    <col min="12542" max="12543" width="2.6640625" style="162" customWidth="1"/>
    <col min="12544" max="12546" width="12" style="162" customWidth="1"/>
    <col min="12547" max="12548" width="9.1640625" style="162"/>
    <col min="12549" max="12549" width="0.83203125" style="162" customWidth="1"/>
    <col min="12550" max="12563" width="7.6640625" style="162" customWidth="1"/>
    <col min="12564" max="12797" width="9.1640625" style="162"/>
    <col min="12798" max="12799" width="2.6640625" style="162" customWidth="1"/>
    <col min="12800" max="12802" width="12" style="162" customWidth="1"/>
    <col min="12803" max="12804" width="9.1640625" style="162"/>
    <col min="12805" max="12805" width="0.83203125" style="162" customWidth="1"/>
    <col min="12806" max="12819" width="7.6640625" style="162" customWidth="1"/>
    <col min="12820" max="13053" width="9.1640625" style="162"/>
    <col min="13054" max="13055" width="2.6640625" style="162" customWidth="1"/>
    <col min="13056" max="13058" width="12" style="162" customWidth="1"/>
    <col min="13059" max="13060" width="9.1640625" style="162"/>
    <col min="13061" max="13061" width="0.83203125" style="162" customWidth="1"/>
    <col min="13062" max="13075" width="7.6640625" style="162" customWidth="1"/>
    <col min="13076" max="13309" width="9.1640625" style="162"/>
    <col min="13310" max="13311" width="2.6640625" style="162" customWidth="1"/>
    <col min="13312" max="13314" width="12" style="162" customWidth="1"/>
    <col min="13315" max="13316" width="9.1640625" style="162"/>
    <col min="13317" max="13317" width="0.83203125" style="162" customWidth="1"/>
    <col min="13318" max="13331" width="7.6640625" style="162" customWidth="1"/>
    <col min="13332" max="13565" width="9.1640625" style="162"/>
    <col min="13566" max="13567" width="2.6640625" style="162" customWidth="1"/>
    <col min="13568" max="13570" width="12" style="162" customWidth="1"/>
    <col min="13571" max="13572" width="9.1640625" style="162"/>
    <col min="13573" max="13573" width="0.83203125" style="162" customWidth="1"/>
    <col min="13574" max="13587" width="7.6640625" style="162" customWidth="1"/>
    <col min="13588" max="13821" width="9.1640625" style="162"/>
    <col min="13822" max="13823" width="2.6640625" style="162" customWidth="1"/>
    <col min="13824" max="13826" width="12" style="162" customWidth="1"/>
    <col min="13827" max="13828" width="9.1640625" style="162"/>
    <col min="13829" max="13829" width="0.83203125" style="162" customWidth="1"/>
    <col min="13830" max="13843" width="7.6640625" style="162" customWidth="1"/>
    <col min="13844" max="14077" width="9.1640625" style="162"/>
    <col min="14078" max="14079" width="2.6640625" style="162" customWidth="1"/>
    <col min="14080" max="14082" width="12" style="162" customWidth="1"/>
    <col min="14083" max="14084" width="9.1640625" style="162"/>
    <col min="14085" max="14085" width="0.83203125" style="162" customWidth="1"/>
    <col min="14086" max="14099" width="7.6640625" style="162" customWidth="1"/>
    <col min="14100" max="14333" width="9.1640625" style="162"/>
    <col min="14334" max="14335" width="2.6640625" style="162" customWidth="1"/>
    <col min="14336" max="14338" width="12" style="162" customWidth="1"/>
    <col min="14339" max="14340" width="9.1640625" style="162"/>
    <col min="14341" max="14341" width="0.83203125" style="162" customWidth="1"/>
    <col min="14342" max="14355" width="7.6640625" style="162" customWidth="1"/>
    <col min="14356" max="14589" width="9.1640625" style="162"/>
    <col min="14590" max="14591" width="2.6640625" style="162" customWidth="1"/>
    <col min="14592" max="14594" width="12" style="162" customWidth="1"/>
    <col min="14595" max="14596" width="9.1640625" style="162"/>
    <col min="14597" max="14597" width="0.83203125" style="162" customWidth="1"/>
    <col min="14598" max="14611" width="7.6640625" style="162" customWidth="1"/>
    <col min="14612" max="14845" width="9.1640625" style="162"/>
    <col min="14846" max="14847" width="2.6640625" style="162" customWidth="1"/>
    <col min="14848" max="14850" width="12" style="162" customWidth="1"/>
    <col min="14851" max="14852" width="9.1640625" style="162"/>
    <col min="14853" max="14853" width="0.83203125" style="162" customWidth="1"/>
    <col min="14854" max="14867" width="7.6640625" style="162" customWidth="1"/>
    <col min="14868" max="15101" width="9.1640625" style="162"/>
    <col min="15102" max="15103" width="2.6640625" style="162" customWidth="1"/>
    <col min="15104" max="15106" width="12" style="162" customWidth="1"/>
    <col min="15107" max="15108" width="9.1640625" style="162"/>
    <col min="15109" max="15109" width="0.83203125" style="162" customWidth="1"/>
    <col min="15110" max="15123" width="7.6640625" style="162" customWidth="1"/>
    <col min="15124" max="15357" width="9.1640625" style="162"/>
    <col min="15358" max="15359" width="2.6640625" style="162" customWidth="1"/>
    <col min="15360" max="15362" width="12" style="162" customWidth="1"/>
    <col min="15363" max="15364" width="9.1640625" style="162"/>
    <col min="15365" max="15365" width="0.83203125" style="162" customWidth="1"/>
    <col min="15366" max="15379" width="7.6640625" style="162" customWidth="1"/>
    <col min="15380" max="15613" width="9.1640625" style="162"/>
    <col min="15614" max="15615" width="2.6640625" style="162" customWidth="1"/>
    <col min="15616" max="15618" width="12" style="162" customWidth="1"/>
    <col min="15619" max="15620" width="9.1640625" style="162"/>
    <col min="15621" max="15621" width="0.83203125" style="162" customWidth="1"/>
    <col min="15622" max="15635" width="7.6640625" style="162" customWidth="1"/>
    <col min="15636" max="15869" width="9.1640625" style="162"/>
    <col min="15870" max="15871" width="2.6640625" style="162" customWidth="1"/>
    <col min="15872" max="15874" width="12" style="162" customWidth="1"/>
    <col min="15875" max="15876" width="9.1640625" style="162"/>
    <col min="15877" max="15877" width="0.83203125" style="162" customWidth="1"/>
    <col min="15878" max="15891" width="7.6640625" style="162" customWidth="1"/>
    <col min="15892" max="16125" width="9.1640625" style="162"/>
    <col min="16126" max="16127" width="2.6640625" style="162" customWidth="1"/>
    <col min="16128" max="16130" width="12" style="162" customWidth="1"/>
    <col min="16131" max="16132" width="9.1640625" style="162"/>
    <col min="16133" max="16133" width="0.83203125" style="162" customWidth="1"/>
    <col min="16134" max="16147" width="7.6640625" style="162" customWidth="1"/>
    <col min="16148" max="16384" width="9.1640625" style="162"/>
  </cols>
  <sheetData>
    <row r="1" spans="1:21" ht="14" thickBot="1">
      <c r="A1" s="161" t="s">
        <v>79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</row>
    <row r="2" spans="1:21" ht="14" thickTop="1">
      <c r="A2" s="163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21">
      <c r="A3" s="153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1:21" ht="16" customHeight="1">
      <c r="A4" s="164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38"/>
      <c r="P4" s="38"/>
      <c r="Q4" s="38"/>
      <c r="R4" s="38"/>
      <c r="S4" s="38"/>
      <c r="T4" s="38"/>
      <c r="U4" s="38"/>
    </row>
    <row r="5" spans="1:21" ht="16" customHeight="1">
      <c r="A5" s="164"/>
      <c r="B5" s="159"/>
      <c r="C5" s="165" t="s">
        <v>80</v>
      </c>
      <c r="D5" s="165"/>
      <c r="E5" s="165"/>
      <c r="F5" s="165"/>
      <c r="G5" s="165"/>
      <c r="H5" s="165"/>
      <c r="I5" s="165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38"/>
    </row>
    <row r="6" spans="1:21" ht="12" customHeight="1">
      <c r="A6" s="164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38"/>
    </row>
    <row r="7" spans="1:21" ht="20.25" customHeight="1">
      <c r="A7" s="164"/>
      <c r="B7" s="159"/>
      <c r="C7" s="166" t="s">
        <v>81</v>
      </c>
      <c r="D7" s="167"/>
      <c r="E7" s="167"/>
      <c r="F7" s="167"/>
      <c r="G7" s="167"/>
      <c r="H7" s="167"/>
      <c r="I7" s="168">
        <v>0</v>
      </c>
      <c r="J7" s="168">
        <f t="shared" ref="J7" si="0">+I7+1</f>
        <v>1</v>
      </c>
      <c r="K7" s="168">
        <f t="shared" ref="K7" si="1">+J7+1</f>
        <v>2</v>
      </c>
      <c r="L7" s="168">
        <f t="shared" ref="L7" si="2">+K7+1</f>
        <v>3</v>
      </c>
      <c r="M7" s="168">
        <f t="shared" ref="M7" si="3">+L7+1</f>
        <v>4</v>
      </c>
      <c r="N7" s="168">
        <f t="shared" ref="N7" si="4">+M7+1</f>
        <v>5</v>
      </c>
      <c r="O7" s="168">
        <f t="shared" ref="O7" si="5">+N7+1</f>
        <v>6</v>
      </c>
      <c r="P7" s="168">
        <f t="shared" ref="P7" si="6">+O7+1</f>
        <v>7</v>
      </c>
      <c r="Q7" s="168">
        <f t="shared" ref="Q7" si="7">+P7+1</f>
        <v>8</v>
      </c>
      <c r="R7" s="168">
        <f t="shared" ref="R7" si="8">+Q7+1</f>
        <v>9</v>
      </c>
      <c r="S7" s="168">
        <f t="shared" ref="S7" si="9">+R7+1</f>
        <v>10</v>
      </c>
      <c r="T7" s="168" t="s">
        <v>82</v>
      </c>
      <c r="U7" s="38"/>
    </row>
    <row r="8" spans="1:21" ht="20.25" customHeight="1">
      <c r="A8" s="164"/>
      <c r="B8" s="159"/>
      <c r="C8" s="169" t="s">
        <v>141</v>
      </c>
      <c r="D8" s="170"/>
      <c r="E8" s="171"/>
      <c r="F8" s="171"/>
      <c r="G8" s="171"/>
      <c r="H8" s="171"/>
      <c r="I8" s="292">
        <f>+'DCF input'!I22</f>
        <v>44286</v>
      </c>
      <c r="J8" s="292">
        <f>+'DCF input'!J22</f>
        <v>44651</v>
      </c>
      <c r="K8" s="292">
        <f>+'DCF input'!K22</f>
        <v>45016</v>
      </c>
      <c r="L8" s="292">
        <f>+'DCF input'!L22</f>
        <v>45382</v>
      </c>
      <c r="M8" s="292">
        <f>+'DCF input'!M22</f>
        <v>45747</v>
      </c>
      <c r="N8" s="292">
        <f>+'DCF input'!N22</f>
        <v>46112</v>
      </c>
      <c r="O8" s="292">
        <f>+'DCF input'!O22</f>
        <v>46477</v>
      </c>
      <c r="P8" s="292">
        <f>+'DCF input'!P22</f>
        <v>46843</v>
      </c>
      <c r="Q8" s="292">
        <f>+'DCF input'!Q22</f>
        <v>47208</v>
      </c>
      <c r="R8" s="292">
        <f>+'DCF input'!R22</f>
        <v>47573</v>
      </c>
      <c r="S8" s="292">
        <f>+'DCF input'!S22</f>
        <v>47938</v>
      </c>
      <c r="T8" s="171"/>
      <c r="U8" s="38"/>
    </row>
    <row r="9" spans="1:21" ht="20.25" customHeight="1">
      <c r="A9" s="164"/>
      <c r="B9" s="159"/>
      <c r="C9" s="172" t="s">
        <v>2</v>
      </c>
      <c r="D9" s="172"/>
      <c r="E9" s="173"/>
      <c r="F9" s="173"/>
      <c r="G9" s="173"/>
      <c r="H9" s="173"/>
      <c r="I9" s="213">
        <f>'DCF input'!I24</f>
        <v>0</v>
      </c>
      <c r="J9" s="213">
        <f>'DCF input'!J24</f>
        <v>0</v>
      </c>
      <c r="K9" s="213">
        <f>'DCF input'!K24</f>
        <v>0</v>
      </c>
      <c r="L9" s="213">
        <f>'DCF input'!L24</f>
        <v>0</v>
      </c>
      <c r="M9" s="213">
        <f>'DCF input'!M24</f>
        <v>0</v>
      </c>
      <c r="N9" s="213">
        <f>'DCF input'!N24</f>
        <v>0</v>
      </c>
      <c r="O9" s="213">
        <f>'DCF input'!O24</f>
        <v>0</v>
      </c>
      <c r="P9" s="213">
        <f>'DCF input'!P24</f>
        <v>0</v>
      </c>
      <c r="Q9" s="213">
        <f>'DCF input'!Q24</f>
        <v>0</v>
      </c>
      <c r="R9" s="213">
        <f>'DCF input'!R24</f>
        <v>0</v>
      </c>
      <c r="S9" s="213">
        <f>'DCF input'!S24</f>
        <v>0</v>
      </c>
      <c r="T9" s="214"/>
      <c r="U9" s="38"/>
    </row>
    <row r="10" spans="1:21" ht="20.25" customHeight="1">
      <c r="A10" s="164"/>
      <c r="B10" s="159"/>
      <c r="C10" s="174" t="s">
        <v>0</v>
      </c>
      <c r="D10" s="174"/>
      <c r="E10" s="175"/>
      <c r="F10" s="176"/>
      <c r="G10" s="176"/>
      <c r="H10" s="176"/>
      <c r="I10" s="215"/>
      <c r="J10" s="215" t="e">
        <f t="shared" ref="J10:S10" si="10">J9/I9-1</f>
        <v>#DIV/0!</v>
      </c>
      <c r="K10" s="215" t="e">
        <f t="shared" si="10"/>
        <v>#DIV/0!</v>
      </c>
      <c r="L10" s="215" t="e">
        <f t="shared" si="10"/>
        <v>#DIV/0!</v>
      </c>
      <c r="M10" s="215" t="e">
        <f t="shared" si="10"/>
        <v>#DIV/0!</v>
      </c>
      <c r="N10" s="215" t="e">
        <f t="shared" si="10"/>
        <v>#DIV/0!</v>
      </c>
      <c r="O10" s="215" t="e">
        <f t="shared" si="10"/>
        <v>#DIV/0!</v>
      </c>
      <c r="P10" s="215" t="e">
        <f t="shared" si="10"/>
        <v>#DIV/0!</v>
      </c>
      <c r="Q10" s="215" t="e">
        <f t="shared" si="10"/>
        <v>#DIV/0!</v>
      </c>
      <c r="R10" s="215" t="e">
        <f t="shared" si="10"/>
        <v>#DIV/0!</v>
      </c>
      <c r="S10" s="215" t="e">
        <f t="shared" si="10"/>
        <v>#DIV/0!</v>
      </c>
      <c r="T10" s="216"/>
      <c r="U10" s="38"/>
    </row>
    <row r="11" spans="1:21" ht="20.25" customHeight="1">
      <c r="A11" s="164"/>
      <c r="B11" s="159"/>
      <c r="C11" s="172" t="s">
        <v>3</v>
      </c>
      <c r="D11" s="172"/>
      <c r="E11" s="173"/>
      <c r="F11" s="173"/>
      <c r="G11" s="173"/>
      <c r="H11" s="173"/>
      <c r="I11" s="213">
        <f>'DCF input'!I27</f>
        <v>0</v>
      </c>
      <c r="J11" s="213">
        <f>'DCF input'!J27</f>
        <v>0</v>
      </c>
      <c r="K11" s="213">
        <f>'DCF input'!K27</f>
        <v>0</v>
      </c>
      <c r="L11" s="213">
        <f>'DCF input'!L27</f>
        <v>0</v>
      </c>
      <c r="M11" s="213">
        <f>'DCF input'!M27</f>
        <v>0</v>
      </c>
      <c r="N11" s="213">
        <f>'DCF input'!N27</f>
        <v>0</v>
      </c>
      <c r="O11" s="213">
        <f>'DCF input'!O27</f>
        <v>0</v>
      </c>
      <c r="P11" s="213">
        <f>'DCF input'!P27</f>
        <v>0</v>
      </c>
      <c r="Q11" s="213">
        <f>'DCF input'!Q27</f>
        <v>0</v>
      </c>
      <c r="R11" s="213">
        <f>'DCF input'!R27</f>
        <v>0</v>
      </c>
      <c r="S11" s="213">
        <f>'DCF input'!S27</f>
        <v>0</v>
      </c>
      <c r="T11" s="214"/>
      <c r="U11" s="38"/>
    </row>
    <row r="12" spans="1:21" ht="20.25" customHeight="1">
      <c r="A12" s="164"/>
      <c r="B12" s="159"/>
      <c r="C12" s="174" t="s">
        <v>1</v>
      </c>
      <c r="D12" s="174"/>
      <c r="E12" s="177"/>
      <c r="F12" s="177"/>
      <c r="G12" s="177"/>
      <c r="H12" s="177"/>
      <c r="I12" s="215" t="e">
        <f t="shared" ref="I12:S12" si="11">I11/I9</f>
        <v>#DIV/0!</v>
      </c>
      <c r="J12" s="215" t="e">
        <f t="shared" si="11"/>
        <v>#DIV/0!</v>
      </c>
      <c r="K12" s="215" t="e">
        <f t="shared" si="11"/>
        <v>#DIV/0!</v>
      </c>
      <c r="L12" s="215" t="e">
        <f t="shared" si="11"/>
        <v>#DIV/0!</v>
      </c>
      <c r="M12" s="215" t="e">
        <f t="shared" si="11"/>
        <v>#DIV/0!</v>
      </c>
      <c r="N12" s="215" t="e">
        <f t="shared" si="11"/>
        <v>#DIV/0!</v>
      </c>
      <c r="O12" s="215" t="e">
        <f t="shared" si="11"/>
        <v>#DIV/0!</v>
      </c>
      <c r="P12" s="215" t="e">
        <f t="shared" si="11"/>
        <v>#DIV/0!</v>
      </c>
      <c r="Q12" s="215" t="e">
        <f t="shared" si="11"/>
        <v>#DIV/0!</v>
      </c>
      <c r="R12" s="215" t="e">
        <f t="shared" si="11"/>
        <v>#DIV/0!</v>
      </c>
      <c r="S12" s="215" t="e">
        <f t="shared" si="11"/>
        <v>#DIV/0!</v>
      </c>
      <c r="T12" s="216"/>
      <c r="U12" s="38"/>
    </row>
    <row r="13" spans="1:21" ht="20.25" customHeight="1">
      <c r="A13" s="164"/>
      <c r="B13" s="159"/>
      <c r="C13" s="174" t="s">
        <v>0</v>
      </c>
      <c r="D13" s="174"/>
      <c r="E13" s="175"/>
      <c r="F13" s="177"/>
      <c r="G13" s="177"/>
      <c r="H13" s="177"/>
      <c r="I13" s="215"/>
      <c r="J13" s="215" t="e">
        <f t="shared" ref="J13:S13" si="12">J11/I11-1</f>
        <v>#DIV/0!</v>
      </c>
      <c r="K13" s="215" t="e">
        <f t="shared" si="12"/>
        <v>#DIV/0!</v>
      </c>
      <c r="L13" s="215" t="e">
        <f t="shared" si="12"/>
        <v>#DIV/0!</v>
      </c>
      <c r="M13" s="215" t="e">
        <f t="shared" si="12"/>
        <v>#DIV/0!</v>
      </c>
      <c r="N13" s="215" t="e">
        <f t="shared" si="12"/>
        <v>#DIV/0!</v>
      </c>
      <c r="O13" s="215" t="e">
        <f t="shared" si="12"/>
        <v>#DIV/0!</v>
      </c>
      <c r="P13" s="215" t="e">
        <f t="shared" si="12"/>
        <v>#DIV/0!</v>
      </c>
      <c r="Q13" s="215" t="e">
        <f t="shared" si="12"/>
        <v>#DIV/0!</v>
      </c>
      <c r="R13" s="215" t="e">
        <f t="shared" si="12"/>
        <v>#DIV/0!</v>
      </c>
      <c r="S13" s="215" t="e">
        <f t="shared" si="12"/>
        <v>#DIV/0!</v>
      </c>
      <c r="T13" s="216"/>
      <c r="U13" s="38"/>
    </row>
    <row r="14" spans="1:21" ht="20.25" customHeight="1">
      <c r="A14" s="164"/>
      <c r="B14" s="159"/>
      <c r="C14" s="178" t="s">
        <v>4</v>
      </c>
      <c r="D14" s="178"/>
      <c r="E14" s="179"/>
      <c r="F14" s="179"/>
      <c r="G14" s="179"/>
      <c r="H14" s="179"/>
      <c r="I14" s="217">
        <f>'DCF input'!I31</f>
        <v>0</v>
      </c>
      <c r="J14" s="217">
        <f>'DCF input'!J31</f>
        <v>0</v>
      </c>
      <c r="K14" s="217">
        <f>'DCF input'!K31</f>
        <v>0</v>
      </c>
      <c r="L14" s="217">
        <f>'DCF input'!L31</f>
        <v>0</v>
      </c>
      <c r="M14" s="217">
        <f>'DCF input'!M31</f>
        <v>0</v>
      </c>
      <c r="N14" s="217">
        <f>'DCF input'!N31</f>
        <v>0</v>
      </c>
      <c r="O14" s="217">
        <f>'DCF input'!O31</f>
        <v>0</v>
      </c>
      <c r="P14" s="217">
        <f>'DCF input'!P31</f>
        <v>0</v>
      </c>
      <c r="Q14" s="217">
        <f>'DCF input'!Q31</f>
        <v>0</v>
      </c>
      <c r="R14" s="217">
        <f>'DCF input'!R31</f>
        <v>0</v>
      </c>
      <c r="S14" s="217">
        <f>'DCF input'!S31</f>
        <v>0</v>
      </c>
      <c r="T14" s="218"/>
      <c r="U14" s="38"/>
    </row>
    <row r="15" spans="1:21" ht="20.25" customHeight="1">
      <c r="A15" s="164"/>
      <c r="B15" s="159"/>
      <c r="C15" s="174" t="s">
        <v>83</v>
      </c>
      <c r="D15" s="174"/>
      <c r="E15" s="177"/>
      <c r="F15" s="177"/>
      <c r="G15" s="177"/>
      <c r="H15" s="177"/>
      <c r="I15" s="215" t="e">
        <f t="shared" ref="I15:S15" si="13">-I14/I$9</f>
        <v>#DIV/0!</v>
      </c>
      <c r="J15" s="215" t="e">
        <f t="shared" si="13"/>
        <v>#DIV/0!</v>
      </c>
      <c r="K15" s="215" t="e">
        <f t="shared" si="13"/>
        <v>#DIV/0!</v>
      </c>
      <c r="L15" s="215" t="e">
        <f t="shared" si="13"/>
        <v>#DIV/0!</v>
      </c>
      <c r="M15" s="215" t="e">
        <f t="shared" si="13"/>
        <v>#DIV/0!</v>
      </c>
      <c r="N15" s="215" t="e">
        <f t="shared" si="13"/>
        <v>#DIV/0!</v>
      </c>
      <c r="O15" s="215" t="e">
        <f t="shared" si="13"/>
        <v>#DIV/0!</v>
      </c>
      <c r="P15" s="215" t="e">
        <f t="shared" si="13"/>
        <v>#DIV/0!</v>
      </c>
      <c r="Q15" s="215" t="e">
        <f t="shared" si="13"/>
        <v>#DIV/0!</v>
      </c>
      <c r="R15" s="215" t="e">
        <f t="shared" si="13"/>
        <v>#DIV/0!</v>
      </c>
      <c r="S15" s="215" t="e">
        <f t="shared" si="13"/>
        <v>#DIV/0!</v>
      </c>
      <c r="T15" s="216"/>
      <c r="U15" s="38"/>
    </row>
    <row r="16" spans="1:21" ht="20.25" customHeight="1">
      <c r="A16" s="164"/>
      <c r="B16" s="159"/>
      <c r="C16" s="174" t="s">
        <v>37</v>
      </c>
      <c r="D16" s="174"/>
      <c r="E16" s="177"/>
      <c r="F16" s="177"/>
      <c r="G16" s="177"/>
      <c r="H16" s="177"/>
      <c r="I16" s="215"/>
      <c r="J16" s="215" t="e">
        <f>+J14/J21</f>
        <v>#DIV/0!</v>
      </c>
      <c r="K16" s="215" t="e">
        <f>+K14/K21</f>
        <v>#DIV/0!</v>
      </c>
      <c r="L16" s="215" t="e">
        <f t="shared" ref="L16:S16" si="14">+L14/L21</f>
        <v>#DIV/0!</v>
      </c>
      <c r="M16" s="215" t="e">
        <f t="shared" si="14"/>
        <v>#DIV/0!</v>
      </c>
      <c r="N16" s="215" t="e">
        <f t="shared" si="14"/>
        <v>#DIV/0!</v>
      </c>
      <c r="O16" s="215" t="e">
        <f t="shared" si="14"/>
        <v>#DIV/0!</v>
      </c>
      <c r="P16" s="215" t="e">
        <f t="shared" si="14"/>
        <v>#DIV/0!</v>
      </c>
      <c r="Q16" s="215" t="e">
        <f t="shared" si="14"/>
        <v>#DIV/0!</v>
      </c>
      <c r="R16" s="215" t="e">
        <f t="shared" si="14"/>
        <v>#DIV/0!</v>
      </c>
      <c r="S16" s="215" t="e">
        <f t="shared" si="14"/>
        <v>#DIV/0!</v>
      </c>
      <c r="T16" s="216"/>
      <c r="U16" s="38"/>
    </row>
    <row r="17" spans="1:21" ht="20.25" customHeight="1">
      <c r="A17" s="164"/>
      <c r="B17" s="159"/>
      <c r="C17" s="178" t="s">
        <v>5</v>
      </c>
      <c r="D17" s="178"/>
      <c r="E17" s="179"/>
      <c r="F17" s="179"/>
      <c r="G17" s="179"/>
      <c r="H17" s="179"/>
      <c r="I17" s="217">
        <f t="shared" ref="I17:S17" si="15">I11+I14</f>
        <v>0</v>
      </c>
      <c r="J17" s="217">
        <f t="shared" si="15"/>
        <v>0</v>
      </c>
      <c r="K17" s="217">
        <f t="shared" si="15"/>
        <v>0</v>
      </c>
      <c r="L17" s="217">
        <f t="shared" si="15"/>
        <v>0</v>
      </c>
      <c r="M17" s="217">
        <f t="shared" si="15"/>
        <v>0</v>
      </c>
      <c r="N17" s="217">
        <f t="shared" si="15"/>
        <v>0</v>
      </c>
      <c r="O17" s="217">
        <f t="shared" si="15"/>
        <v>0</v>
      </c>
      <c r="P17" s="217">
        <f t="shared" si="15"/>
        <v>0</v>
      </c>
      <c r="Q17" s="217">
        <f t="shared" si="15"/>
        <v>0</v>
      </c>
      <c r="R17" s="217">
        <f t="shared" si="15"/>
        <v>0</v>
      </c>
      <c r="S17" s="217">
        <f t="shared" si="15"/>
        <v>0</v>
      </c>
      <c r="T17" s="218"/>
      <c r="U17" s="38"/>
    </row>
    <row r="18" spans="1:21" ht="20.25" customHeight="1">
      <c r="A18" s="164"/>
      <c r="B18" s="159"/>
      <c r="C18" s="174" t="s">
        <v>1</v>
      </c>
      <c r="D18" s="174"/>
      <c r="E18" s="177"/>
      <c r="F18" s="177"/>
      <c r="G18" s="177"/>
      <c r="H18" s="177"/>
      <c r="I18" s="215" t="e">
        <f t="shared" ref="I18:S18" si="16">I17/I$9</f>
        <v>#DIV/0!</v>
      </c>
      <c r="J18" s="215" t="e">
        <f t="shared" si="16"/>
        <v>#DIV/0!</v>
      </c>
      <c r="K18" s="215" t="e">
        <f t="shared" si="16"/>
        <v>#DIV/0!</v>
      </c>
      <c r="L18" s="215" t="e">
        <f t="shared" si="16"/>
        <v>#DIV/0!</v>
      </c>
      <c r="M18" s="215" t="e">
        <f t="shared" si="16"/>
        <v>#DIV/0!</v>
      </c>
      <c r="N18" s="215" t="e">
        <f t="shared" si="16"/>
        <v>#DIV/0!</v>
      </c>
      <c r="O18" s="215" t="e">
        <f t="shared" si="16"/>
        <v>#DIV/0!</v>
      </c>
      <c r="P18" s="215" t="e">
        <f t="shared" si="16"/>
        <v>#DIV/0!</v>
      </c>
      <c r="Q18" s="215" t="e">
        <f t="shared" si="16"/>
        <v>#DIV/0!</v>
      </c>
      <c r="R18" s="215" t="e">
        <f t="shared" si="16"/>
        <v>#DIV/0!</v>
      </c>
      <c r="S18" s="215" t="e">
        <f t="shared" si="16"/>
        <v>#DIV/0!</v>
      </c>
      <c r="T18" s="216"/>
      <c r="U18" s="38"/>
    </row>
    <row r="19" spans="1:21" ht="20.25" customHeight="1">
      <c r="A19" s="164"/>
      <c r="B19" s="159"/>
      <c r="C19" s="178" t="s">
        <v>84</v>
      </c>
      <c r="D19" s="178"/>
      <c r="E19" s="179"/>
      <c r="F19" s="179"/>
      <c r="G19" s="179"/>
      <c r="H19" s="179"/>
      <c r="I19" s="217"/>
      <c r="J19" s="217">
        <f>-J20*J17</f>
        <v>0</v>
      </c>
      <c r="K19" s="217">
        <f t="shared" ref="K19:S19" si="17">-K20*K17</f>
        <v>0</v>
      </c>
      <c r="L19" s="217">
        <f t="shared" si="17"/>
        <v>0</v>
      </c>
      <c r="M19" s="217">
        <f t="shared" si="17"/>
        <v>0</v>
      </c>
      <c r="N19" s="217">
        <f t="shared" si="17"/>
        <v>0</v>
      </c>
      <c r="O19" s="217">
        <f t="shared" si="17"/>
        <v>0</v>
      </c>
      <c r="P19" s="217">
        <f t="shared" si="17"/>
        <v>0</v>
      </c>
      <c r="Q19" s="217">
        <f t="shared" si="17"/>
        <v>0</v>
      </c>
      <c r="R19" s="217">
        <f t="shared" si="17"/>
        <v>0</v>
      </c>
      <c r="S19" s="217">
        <f t="shared" si="17"/>
        <v>0</v>
      </c>
      <c r="T19" s="218"/>
      <c r="U19" s="38"/>
    </row>
    <row r="20" spans="1:21" ht="20.25" customHeight="1">
      <c r="A20" s="164"/>
      <c r="B20" s="159"/>
      <c r="C20" s="174" t="s">
        <v>6</v>
      </c>
      <c r="D20" s="174"/>
      <c r="E20" s="177"/>
      <c r="F20" s="177"/>
      <c r="G20" s="177"/>
      <c r="H20" s="177"/>
      <c r="I20" s="215"/>
      <c r="J20" s="215">
        <f>'DCF input'!J40</f>
        <v>0</v>
      </c>
      <c r="K20" s="215">
        <f>'DCF input'!K40</f>
        <v>0</v>
      </c>
      <c r="L20" s="215">
        <f>'DCF input'!L40</f>
        <v>0</v>
      </c>
      <c r="M20" s="215">
        <f>'DCF input'!M40</f>
        <v>0</v>
      </c>
      <c r="N20" s="215">
        <f>'DCF input'!N40</f>
        <v>0</v>
      </c>
      <c r="O20" s="215">
        <f>'DCF input'!O40</f>
        <v>0</v>
      </c>
      <c r="P20" s="215">
        <f>'DCF input'!P40</f>
        <v>0</v>
      </c>
      <c r="Q20" s="215">
        <f>'DCF input'!Q40</f>
        <v>0</v>
      </c>
      <c r="R20" s="215">
        <f>'DCF input'!R40</f>
        <v>0</v>
      </c>
      <c r="S20" s="215">
        <f>'DCF input'!S40</f>
        <v>0</v>
      </c>
      <c r="T20" s="216"/>
      <c r="U20" s="38"/>
    </row>
    <row r="21" spans="1:21" ht="20.25" customHeight="1">
      <c r="A21" s="164"/>
      <c r="B21" s="159"/>
      <c r="C21" s="178" t="s">
        <v>7</v>
      </c>
      <c r="D21" s="178"/>
      <c r="E21" s="179"/>
      <c r="F21" s="179"/>
      <c r="G21" s="179"/>
      <c r="H21" s="179"/>
      <c r="I21" s="217"/>
      <c r="J21" s="217">
        <f>'DCF input'!J48</f>
        <v>0</v>
      </c>
      <c r="K21" s="217">
        <f>'DCF input'!K48</f>
        <v>0</v>
      </c>
      <c r="L21" s="217">
        <f>'DCF input'!L48</f>
        <v>0</v>
      </c>
      <c r="M21" s="217">
        <f>'DCF input'!M48</f>
        <v>0</v>
      </c>
      <c r="N21" s="217">
        <f>'DCF input'!N48</f>
        <v>0</v>
      </c>
      <c r="O21" s="217">
        <f>'DCF input'!O48</f>
        <v>0</v>
      </c>
      <c r="P21" s="217">
        <f>'DCF input'!P48</f>
        <v>0</v>
      </c>
      <c r="Q21" s="217">
        <f>'DCF input'!Q48</f>
        <v>0</v>
      </c>
      <c r="R21" s="217">
        <f>'DCF input'!R48</f>
        <v>0</v>
      </c>
      <c r="S21" s="217">
        <f>'DCF input'!S48</f>
        <v>0</v>
      </c>
      <c r="T21" s="218"/>
      <c r="U21" s="38"/>
    </row>
    <row r="22" spans="1:21" ht="20.25" customHeight="1">
      <c r="A22" s="164"/>
      <c r="B22" s="159"/>
      <c r="C22" s="174" t="s">
        <v>83</v>
      </c>
      <c r="D22" s="174"/>
      <c r="E22" s="177"/>
      <c r="F22" s="177"/>
      <c r="G22" s="177"/>
      <c r="H22" s="177"/>
      <c r="I22" s="215"/>
      <c r="J22" s="215" t="e">
        <f t="shared" ref="J22" si="18">-J21/J$9</f>
        <v>#DIV/0!</v>
      </c>
      <c r="K22" s="215" t="e">
        <f t="shared" ref="K22:S22" si="19">-K21/K$9</f>
        <v>#DIV/0!</v>
      </c>
      <c r="L22" s="215" t="e">
        <f t="shared" si="19"/>
        <v>#DIV/0!</v>
      </c>
      <c r="M22" s="215" t="e">
        <f t="shared" si="19"/>
        <v>#DIV/0!</v>
      </c>
      <c r="N22" s="215" t="e">
        <f t="shared" si="19"/>
        <v>#DIV/0!</v>
      </c>
      <c r="O22" s="215" t="e">
        <f t="shared" si="19"/>
        <v>#DIV/0!</v>
      </c>
      <c r="P22" s="215" t="e">
        <f t="shared" si="19"/>
        <v>#DIV/0!</v>
      </c>
      <c r="Q22" s="215" t="e">
        <f t="shared" si="19"/>
        <v>#DIV/0!</v>
      </c>
      <c r="R22" s="215" t="e">
        <f t="shared" si="19"/>
        <v>#DIV/0!</v>
      </c>
      <c r="S22" s="215" t="e">
        <f t="shared" si="19"/>
        <v>#DIV/0!</v>
      </c>
      <c r="T22" s="216"/>
      <c r="U22" s="38"/>
    </row>
    <row r="23" spans="1:21" ht="20.25" customHeight="1">
      <c r="A23" s="164"/>
      <c r="B23" s="159"/>
      <c r="C23" s="178" t="s">
        <v>75</v>
      </c>
      <c r="D23" s="178"/>
      <c r="E23" s="179"/>
      <c r="F23" s="179"/>
      <c r="G23" s="179"/>
      <c r="H23" s="179"/>
      <c r="I23" s="217"/>
      <c r="J23" s="217">
        <f>'DCF input'!J52</f>
        <v>0</v>
      </c>
      <c r="K23" s="217">
        <f>'DCF input'!K52</f>
        <v>0</v>
      </c>
      <c r="L23" s="217">
        <f>'DCF input'!L52</f>
        <v>0</v>
      </c>
      <c r="M23" s="217">
        <f>'DCF input'!M52</f>
        <v>0</v>
      </c>
      <c r="N23" s="217">
        <f>'DCF input'!N52</f>
        <v>0</v>
      </c>
      <c r="O23" s="217">
        <f>'DCF input'!O52</f>
        <v>0</v>
      </c>
      <c r="P23" s="217">
        <f>'DCF input'!P52</f>
        <v>0</v>
      </c>
      <c r="Q23" s="217">
        <f>'DCF input'!Q52</f>
        <v>0</v>
      </c>
      <c r="R23" s="217">
        <f>'DCF input'!R52</f>
        <v>0</v>
      </c>
      <c r="S23" s="217">
        <f>'DCF input'!S52</f>
        <v>0</v>
      </c>
      <c r="T23" s="218"/>
      <c r="U23" s="38"/>
    </row>
    <row r="24" spans="1:21" ht="20.25" customHeight="1">
      <c r="A24" s="164"/>
      <c r="B24" s="159"/>
      <c r="C24" s="178" t="s">
        <v>127</v>
      </c>
      <c r="D24" s="178"/>
      <c r="E24" s="179"/>
      <c r="F24" s="179"/>
      <c r="G24" s="179"/>
      <c r="H24" s="179"/>
      <c r="I24" s="217"/>
      <c r="J24" s="217">
        <f>'DCF input'!J55</f>
        <v>0</v>
      </c>
      <c r="K24" s="217">
        <f>'DCF input'!K55</f>
        <v>0</v>
      </c>
      <c r="L24" s="217">
        <f>'DCF input'!L55</f>
        <v>0</v>
      </c>
      <c r="M24" s="217">
        <f>'DCF input'!M55</f>
        <v>0</v>
      </c>
      <c r="N24" s="217">
        <f>'DCF input'!N55</f>
        <v>0</v>
      </c>
      <c r="O24" s="217">
        <f>'DCF input'!O55</f>
        <v>0</v>
      </c>
      <c r="P24" s="217">
        <f>'DCF input'!P55</f>
        <v>0</v>
      </c>
      <c r="Q24" s="217">
        <f>'DCF input'!Q55</f>
        <v>0</v>
      </c>
      <c r="R24" s="217">
        <f>'DCF input'!R55</f>
        <v>0</v>
      </c>
      <c r="S24" s="217">
        <f>'DCF input'!S55</f>
        <v>0</v>
      </c>
      <c r="T24" s="218"/>
      <c r="U24" s="38"/>
    </row>
    <row r="25" spans="1:21" ht="20.25" customHeight="1">
      <c r="A25" s="164"/>
      <c r="B25" s="159"/>
      <c r="C25" s="174" t="s">
        <v>83</v>
      </c>
      <c r="D25" s="178"/>
      <c r="E25" s="179"/>
      <c r="F25" s="179"/>
      <c r="G25" s="179"/>
      <c r="H25" s="179"/>
      <c r="I25" s="217"/>
      <c r="J25" s="215" t="e">
        <f t="shared" ref="J25:S25" si="20">-J24/J$9</f>
        <v>#DIV/0!</v>
      </c>
      <c r="K25" s="215" t="e">
        <f t="shared" si="20"/>
        <v>#DIV/0!</v>
      </c>
      <c r="L25" s="215" t="e">
        <f t="shared" si="20"/>
        <v>#DIV/0!</v>
      </c>
      <c r="M25" s="215" t="e">
        <f t="shared" si="20"/>
        <v>#DIV/0!</v>
      </c>
      <c r="N25" s="215" t="e">
        <f t="shared" si="20"/>
        <v>#DIV/0!</v>
      </c>
      <c r="O25" s="215" t="e">
        <f t="shared" si="20"/>
        <v>#DIV/0!</v>
      </c>
      <c r="P25" s="215" t="e">
        <f t="shared" si="20"/>
        <v>#DIV/0!</v>
      </c>
      <c r="Q25" s="215" t="e">
        <f t="shared" si="20"/>
        <v>#DIV/0!</v>
      </c>
      <c r="R25" s="215" t="e">
        <f t="shared" si="20"/>
        <v>#DIV/0!</v>
      </c>
      <c r="S25" s="215" t="e">
        <f t="shared" si="20"/>
        <v>#DIV/0!</v>
      </c>
      <c r="T25" s="218"/>
      <c r="U25" s="38"/>
    </row>
    <row r="26" spans="1:21" ht="20.25" customHeight="1">
      <c r="A26" s="164"/>
      <c r="B26" s="159"/>
      <c r="C26" s="178" t="s">
        <v>128</v>
      </c>
      <c r="D26" s="178"/>
      <c r="E26" s="179"/>
      <c r="F26" s="179"/>
      <c r="G26" s="179"/>
      <c r="H26" s="179"/>
      <c r="I26" s="217"/>
      <c r="J26" s="217">
        <f>'DCF input'!J58</f>
        <v>0</v>
      </c>
      <c r="K26" s="217">
        <f>'DCF input'!K58</f>
        <v>0</v>
      </c>
      <c r="L26" s="217">
        <f>'DCF input'!L58</f>
        <v>0</v>
      </c>
      <c r="M26" s="217">
        <f>'DCF input'!M58</f>
        <v>0</v>
      </c>
      <c r="N26" s="217">
        <f>'DCF input'!N58</f>
        <v>0</v>
      </c>
      <c r="O26" s="217">
        <f>'DCF input'!O58</f>
        <v>0</v>
      </c>
      <c r="P26" s="217">
        <f>'DCF input'!P58</f>
        <v>0</v>
      </c>
      <c r="Q26" s="217">
        <f>'DCF input'!Q58</f>
        <v>0</v>
      </c>
      <c r="R26" s="217">
        <f>'DCF input'!R58</f>
        <v>0</v>
      </c>
      <c r="S26" s="217">
        <f>'DCF input'!S58</f>
        <v>0</v>
      </c>
      <c r="T26" s="218"/>
      <c r="U26" s="38"/>
    </row>
    <row r="27" spans="1:21" ht="20.25" customHeight="1">
      <c r="A27" s="164"/>
      <c r="B27" s="159"/>
      <c r="C27" s="174" t="s">
        <v>83</v>
      </c>
      <c r="D27" s="178"/>
      <c r="E27" s="179"/>
      <c r="F27" s="179"/>
      <c r="G27" s="179"/>
      <c r="H27" s="179"/>
      <c r="I27" s="217"/>
      <c r="J27" s="215" t="e">
        <f t="shared" ref="J27:S27" si="21">-J26/J$9</f>
        <v>#DIV/0!</v>
      </c>
      <c r="K27" s="215" t="e">
        <f t="shared" si="21"/>
        <v>#DIV/0!</v>
      </c>
      <c r="L27" s="215" t="e">
        <f t="shared" si="21"/>
        <v>#DIV/0!</v>
      </c>
      <c r="M27" s="215" t="e">
        <f t="shared" si="21"/>
        <v>#DIV/0!</v>
      </c>
      <c r="N27" s="215" t="e">
        <f t="shared" si="21"/>
        <v>#DIV/0!</v>
      </c>
      <c r="O27" s="215" t="e">
        <f t="shared" si="21"/>
        <v>#DIV/0!</v>
      </c>
      <c r="P27" s="215" t="e">
        <f t="shared" si="21"/>
        <v>#DIV/0!</v>
      </c>
      <c r="Q27" s="215" t="e">
        <f t="shared" si="21"/>
        <v>#DIV/0!</v>
      </c>
      <c r="R27" s="215" t="e">
        <f t="shared" si="21"/>
        <v>#DIV/0!</v>
      </c>
      <c r="S27" s="215" t="e">
        <f t="shared" si="21"/>
        <v>#DIV/0!</v>
      </c>
      <c r="T27" s="218"/>
      <c r="U27" s="38"/>
    </row>
    <row r="28" spans="1:21" ht="20.25" customHeight="1">
      <c r="A28" s="164"/>
      <c r="B28" s="159"/>
      <c r="C28" s="172" t="s">
        <v>85</v>
      </c>
      <c r="D28" s="172"/>
      <c r="E28" s="173"/>
      <c r="F28" s="173"/>
      <c r="G28" s="173"/>
      <c r="H28" s="173"/>
      <c r="I28" s="213"/>
      <c r="J28" s="213">
        <f>J17+J19-J14+J21+J23+J24+J26</f>
        <v>0</v>
      </c>
      <c r="K28" s="213">
        <f t="shared" ref="K28:S28" si="22">K17+K19-K14+K21+K23+K24+K26</f>
        <v>0</v>
      </c>
      <c r="L28" s="213">
        <f t="shared" si="22"/>
        <v>0</v>
      </c>
      <c r="M28" s="213">
        <f t="shared" si="22"/>
        <v>0</v>
      </c>
      <c r="N28" s="213">
        <f t="shared" si="22"/>
        <v>0</v>
      </c>
      <c r="O28" s="213">
        <f t="shared" si="22"/>
        <v>0</v>
      </c>
      <c r="P28" s="213">
        <f t="shared" si="22"/>
        <v>0</v>
      </c>
      <c r="Q28" s="213">
        <f t="shared" si="22"/>
        <v>0</v>
      </c>
      <c r="R28" s="213">
        <f t="shared" si="22"/>
        <v>0</v>
      </c>
      <c r="S28" s="213">
        <f t="shared" si="22"/>
        <v>0</v>
      </c>
      <c r="T28" s="213" t="e">
        <f>S28*(1+'DCF input'!F9)/('DCF input'!F11-'DCF input'!F9)</f>
        <v>#DIV/0!</v>
      </c>
      <c r="U28" s="38"/>
    </row>
    <row r="29" spans="1:21" ht="20.25" customHeight="1">
      <c r="A29" s="164"/>
      <c r="B29" s="159"/>
      <c r="C29" s="159" t="s">
        <v>86</v>
      </c>
      <c r="D29" s="178"/>
      <c r="E29" s="179"/>
      <c r="F29" s="179"/>
      <c r="G29" s="179"/>
      <c r="H29" s="179"/>
      <c r="I29" s="217"/>
      <c r="J29" s="217">
        <f t="shared" ref="J29:S29" si="23">J7</f>
        <v>1</v>
      </c>
      <c r="K29" s="217">
        <f t="shared" si="23"/>
        <v>2</v>
      </c>
      <c r="L29" s="217">
        <f t="shared" si="23"/>
        <v>3</v>
      </c>
      <c r="M29" s="217">
        <f t="shared" si="23"/>
        <v>4</v>
      </c>
      <c r="N29" s="217">
        <f t="shared" si="23"/>
        <v>5</v>
      </c>
      <c r="O29" s="217">
        <f t="shared" si="23"/>
        <v>6</v>
      </c>
      <c r="P29" s="217">
        <f t="shared" si="23"/>
        <v>7</v>
      </c>
      <c r="Q29" s="217">
        <f t="shared" si="23"/>
        <v>8</v>
      </c>
      <c r="R29" s="217">
        <f t="shared" si="23"/>
        <v>9</v>
      </c>
      <c r="S29" s="217">
        <f t="shared" si="23"/>
        <v>10</v>
      </c>
      <c r="T29" s="219"/>
      <c r="U29" s="38"/>
    </row>
    <row r="30" spans="1:21" ht="20.25" customHeight="1">
      <c r="A30" s="164"/>
      <c r="B30" s="159"/>
      <c r="C30" s="159" t="s">
        <v>87</v>
      </c>
      <c r="D30" s="178"/>
      <c r="E30" s="179"/>
      <c r="F30" s="179"/>
      <c r="G30" s="179"/>
      <c r="H30" s="179"/>
      <c r="I30" s="220"/>
      <c r="J30" s="221">
        <f>'DCF input'!J67</f>
        <v>1</v>
      </c>
      <c r="K30" s="221">
        <f>'DCF input'!K67</f>
        <v>1</v>
      </c>
      <c r="L30" s="221">
        <f>'DCF input'!L67</f>
        <v>1</v>
      </c>
      <c r="M30" s="221">
        <f>'DCF input'!M67</f>
        <v>1</v>
      </c>
      <c r="N30" s="221">
        <f>'DCF input'!N67</f>
        <v>1</v>
      </c>
      <c r="O30" s="221">
        <f>'DCF input'!O67</f>
        <v>1</v>
      </c>
      <c r="P30" s="221">
        <f>'DCF input'!P67</f>
        <v>1</v>
      </c>
      <c r="Q30" s="221">
        <f>'DCF input'!Q67</f>
        <v>1</v>
      </c>
      <c r="R30" s="221">
        <f>'DCF input'!R67</f>
        <v>1</v>
      </c>
      <c r="S30" s="221">
        <f>'DCF input'!S67</f>
        <v>1</v>
      </c>
      <c r="T30" s="217"/>
      <c r="U30" s="38"/>
    </row>
    <row r="31" spans="1:21" ht="20.25" customHeight="1">
      <c r="A31" s="164"/>
      <c r="B31" s="159"/>
      <c r="C31" s="180" t="s">
        <v>88</v>
      </c>
      <c r="D31" s="180"/>
      <c r="E31" s="181"/>
      <c r="F31" s="181"/>
      <c r="G31" s="181"/>
      <c r="H31" s="181"/>
      <c r="I31" s="222"/>
      <c r="J31" s="222">
        <f t="shared" ref="J31" si="24">J30*J28</f>
        <v>0</v>
      </c>
      <c r="K31" s="222">
        <f t="shared" ref="K31:S31" si="25">K30*K28</f>
        <v>0</v>
      </c>
      <c r="L31" s="222">
        <f t="shared" si="25"/>
        <v>0</v>
      </c>
      <c r="M31" s="222">
        <f t="shared" si="25"/>
        <v>0</v>
      </c>
      <c r="N31" s="222">
        <f t="shared" si="25"/>
        <v>0</v>
      </c>
      <c r="O31" s="222">
        <f t="shared" si="25"/>
        <v>0</v>
      </c>
      <c r="P31" s="222">
        <f t="shared" si="25"/>
        <v>0</v>
      </c>
      <c r="Q31" s="222">
        <f t="shared" si="25"/>
        <v>0</v>
      </c>
      <c r="R31" s="222">
        <f t="shared" si="25"/>
        <v>0</v>
      </c>
      <c r="S31" s="222">
        <f t="shared" si="25"/>
        <v>0</v>
      </c>
      <c r="T31" s="222" t="e">
        <f>T28*S30</f>
        <v>#DIV/0!</v>
      </c>
      <c r="U31" s="38"/>
    </row>
    <row r="32" spans="1:21" ht="20.25" customHeight="1">
      <c r="A32" s="164"/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38"/>
      <c r="O32" s="159"/>
      <c r="P32" s="159"/>
      <c r="Q32" s="159"/>
      <c r="R32" s="159"/>
      <c r="S32" s="38"/>
      <c r="T32" s="38"/>
      <c r="U32" s="38"/>
    </row>
    <row r="33" spans="1:22" ht="20.25" customHeight="1">
      <c r="A33" s="164"/>
      <c r="B33" s="159"/>
      <c r="C33" s="196" t="s">
        <v>89</v>
      </c>
      <c r="D33" s="197"/>
      <c r="E33" s="197"/>
      <c r="F33" s="197"/>
      <c r="G33" s="197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5"/>
      <c r="U33" s="38"/>
    </row>
    <row r="34" spans="1:22" ht="20.25" customHeight="1">
      <c r="A34" s="164"/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38"/>
      <c r="P34" s="38"/>
      <c r="Q34" s="38"/>
      <c r="R34" s="38"/>
      <c r="S34" s="38"/>
      <c r="T34" s="38"/>
      <c r="U34" s="38"/>
    </row>
    <row r="35" spans="1:22" ht="20.25" customHeight="1">
      <c r="A35" s="164"/>
      <c r="B35" s="159"/>
      <c r="C35" s="361" t="str">
        <f>"Value Based on "&amp;TEXT(K40,"#0.0%")&amp;" WACC &amp; "&amp;TEXT(N37,"#0.0%")&amp;" TGR"</f>
        <v>Value Based on 0.0% WACC &amp; 0.0% TGR</v>
      </c>
      <c r="D35" s="361"/>
      <c r="E35" s="361"/>
      <c r="F35" s="182" t="s">
        <v>90</v>
      </c>
      <c r="G35" s="182" t="s">
        <v>91</v>
      </c>
      <c r="H35" s="159"/>
      <c r="I35" s="38"/>
      <c r="J35" s="191" t="s">
        <v>142</v>
      </c>
      <c r="K35" s="192"/>
      <c r="L35" s="193"/>
      <c r="M35" s="194"/>
      <c r="N35" s="194"/>
      <c r="O35" s="194"/>
      <c r="P35" s="194"/>
      <c r="Q35" s="183"/>
      <c r="R35" s="183"/>
      <c r="S35" s="183"/>
      <c r="T35" s="38"/>
      <c r="U35" s="38"/>
    </row>
    <row r="36" spans="1:22" ht="20.25" customHeight="1">
      <c r="A36" s="164"/>
      <c r="B36" s="159"/>
      <c r="C36" s="362"/>
      <c r="D36" s="362"/>
      <c r="E36" s="362"/>
      <c r="F36" s="291" t="s">
        <v>139</v>
      </c>
      <c r="G36" s="171" t="s">
        <v>92</v>
      </c>
      <c r="H36" s="159"/>
      <c r="I36" s="38"/>
      <c r="J36" s="167"/>
      <c r="K36" s="182"/>
      <c r="L36" s="365" t="s">
        <v>93</v>
      </c>
      <c r="M36" s="365"/>
      <c r="N36" s="365"/>
      <c r="O36" s="365"/>
      <c r="P36" s="365"/>
      <c r="Q36" s="184"/>
      <c r="R36" s="184"/>
      <c r="S36" s="184"/>
      <c r="T36" s="38"/>
      <c r="U36" s="38"/>
    </row>
    <row r="37" spans="1:22" ht="20.25" customHeight="1">
      <c r="A37" s="164"/>
      <c r="B37" s="159"/>
      <c r="C37" s="231" t="s">
        <v>94</v>
      </c>
      <c r="D37" s="185"/>
      <c r="E37" s="185"/>
      <c r="F37" s="223">
        <f>SUM(J31:S31)</f>
        <v>0</v>
      </c>
      <c r="G37" s="224" t="e">
        <f>F37/F$39</f>
        <v>#DIV/0!</v>
      </c>
      <c r="H37" s="159"/>
      <c r="I37" s="38"/>
      <c r="J37" s="363" t="s">
        <v>60</v>
      </c>
      <c r="K37" s="234"/>
      <c r="L37" s="235">
        <f>'DCF input'!F103</f>
        <v>0</v>
      </c>
      <c r="M37" s="235">
        <f>'DCF input'!G103</f>
        <v>0</v>
      </c>
      <c r="N37" s="235">
        <f>'DCF input'!H103</f>
        <v>0</v>
      </c>
      <c r="O37" s="235">
        <f>'DCF input'!I103</f>
        <v>0</v>
      </c>
      <c r="P37" s="235">
        <f>'DCF input'!J103</f>
        <v>0</v>
      </c>
      <c r="Q37" s="186"/>
      <c r="R37" s="186"/>
      <c r="S37" s="186"/>
      <c r="T37" s="38"/>
      <c r="U37" s="38"/>
    </row>
    <row r="38" spans="1:22" ht="20.25" customHeight="1">
      <c r="A38" s="164"/>
      <c r="B38" s="159"/>
      <c r="C38" s="231" t="s">
        <v>51</v>
      </c>
      <c r="D38" s="185"/>
      <c r="E38" s="185"/>
      <c r="F38" s="223" t="e">
        <f>T31</f>
        <v>#DIV/0!</v>
      </c>
      <c r="G38" s="224" t="e">
        <f>F38/F$39</f>
        <v>#DIV/0!</v>
      </c>
      <c r="H38" s="159"/>
      <c r="I38" s="38"/>
      <c r="J38" s="363"/>
      <c r="K38" s="236">
        <f>'DCF input'!E95</f>
        <v>0</v>
      </c>
      <c r="L38" s="237" t="e">
        <f>CONCATENATE(ROUND('DCF input'!F95,)," / ",ROUND('DCF input'!F104,0),"c")</f>
        <v>#DIV/0!</v>
      </c>
      <c r="M38" s="238" t="e">
        <f>CONCATENATE(ROUND('DCF input'!G95,)," / ",ROUND('DCF input'!G104,0),"c")</f>
        <v>#DIV/0!</v>
      </c>
      <c r="N38" s="238" t="e">
        <f>CONCATENATE(ROUND('DCF input'!H95,)," / ",ROUND('DCF input'!H104,0),"c")</f>
        <v>#DIV/0!</v>
      </c>
      <c r="O38" s="238" t="e">
        <f>CONCATENATE(ROUND('DCF input'!I95,)," / ",ROUND('DCF input'!I104,0),"c")</f>
        <v>#DIV/0!</v>
      </c>
      <c r="P38" s="238" t="e">
        <f>CONCATENATE(ROUND('DCF input'!J95,)," / ",ROUND('DCF input'!J104,0),"c")</f>
        <v>#DIV/0!</v>
      </c>
      <c r="Q38" s="187"/>
      <c r="R38" s="187"/>
      <c r="S38" s="187"/>
      <c r="T38" s="38"/>
      <c r="U38" s="38"/>
    </row>
    <row r="39" spans="1:22" ht="20.25" customHeight="1">
      <c r="A39" s="164"/>
      <c r="B39" s="159"/>
      <c r="C39" s="232" t="s">
        <v>95</v>
      </c>
      <c r="D39" s="188"/>
      <c r="E39" s="188"/>
      <c r="F39" s="225" t="e">
        <f>(F38+F37)</f>
        <v>#DIV/0!</v>
      </c>
      <c r="G39" s="226" t="e">
        <f>F39/F$39</f>
        <v>#DIV/0!</v>
      </c>
      <c r="H39" s="159"/>
      <c r="I39" s="38"/>
      <c r="J39" s="363"/>
      <c r="K39" s="236">
        <f>'DCF input'!E96</f>
        <v>0</v>
      </c>
      <c r="L39" s="238" t="e">
        <f>CONCATENATE(ROUND('DCF input'!F96,)," / ",ROUND('DCF input'!F105,0),"c")</f>
        <v>#DIV/0!</v>
      </c>
      <c r="M39" s="239" t="e">
        <f>CONCATENATE(ROUND('DCF input'!G96,)," / ",ROUND('DCF input'!G105,0),"c")</f>
        <v>#DIV/0!</v>
      </c>
      <c r="N39" s="239" t="e">
        <f>CONCATENATE(ROUND('DCF input'!H96,)," / ",ROUND('DCF input'!H105,0),"c")</f>
        <v>#DIV/0!</v>
      </c>
      <c r="O39" s="239" t="e">
        <f>CONCATENATE(ROUND('DCF input'!I96,)," / ",ROUND('DCF input'!I105,0),"c")</f>
        <v>#DIV/0!</v>
      </c>
      <c r="P39" s="238" t="e">
        <f>CONCATENATE(ROUND('DCF input'!J96,)," / ",ROUND('DCF input'!J105,0),"c")</f>
        <v>#DIV/0!</v>
      </c>
      <c r="Q39" s="187"/>
      <c r="R39" s="187"/>
      <c r="S39" s="187"/>
      <c r="T39" s="38"/>
      <c r="U39" s="38"/>
    </row>
    <row r="40" spans="1:22" ht="20.25" customHeight="1">
      <c r="A40" s="164"/>
      <c r="B40" s="159"/>
      <c r="C40" s="231" t="s">
        <v>67</v>
      </c>
      <c r="D40" s="185"/>
      <c r="E40" s="185"/>
      <c r="F40" s="227">
        <f>+'DCF input'!H78</f>
        <v>-84.616813539584982</v>
      </c>
      <c r="G40" s="228"/>
      <c r="H40" s="154"/>
      <c r="I40" s="38"/>
      <c r="J40" s="363"/>
      <c r="K40" s="236">
        <f>'DCF input'!E97</f>
        <v>0</v>
      </c>
      <c r="L40" s="238" t="e">
        <f>CONCATENATE(ROUND('DCF input'!F97,)," / ",ROUND('DCF input'!F106,0),"c")</f>
        <v>#DIV/0!</v>
      </c>
      <c r="M40" s="239" t="e">
        <f>CONCATENATE(ROUND('DCF input'!G97,)," / ",ROUND('DCF input'!G106,0),"c")</f>
        <v>#DIV/0!</v>
      </c>
      <c r="N40" s="240" t="e">
        <f>CONCATENATE(ROUND('DCF input'!H97,)," / ",ROUND('DCF input'!H106,0),"c")</f>
        <v>#DIV/0!</v>
      </c>
      <c r="O40" s="239" t="e">
        <f>CONCATENATE(ROUND('DCF input'!I97,)," / ",ROUND('DCF input'!I106,0),"c")</f>
        <v>#DIV/0!</v>
      </c>
      <c r="P40" s="238" t="e">
        <f>CONCATENATE(ROUND('DCF input'!J97,)," / ",ROUND('DCF input'!J106,0),"c")</f>
        <v>#DIV/0!</v>
      </c>
      <c r="Q40" s="187"/>
      <c r="R40" s="189"/>
      <c r="S40" s="187"/>
      <c r="T40" s="38"/>
      <c r="U40" s="38"/>
    </row>
    <row r="41" spans="1:22" ht="20.25" customHeight="1">
      <c r="A41" s="164"/>
      <c r="B41" s="159"/>
      <c r="C41" s="232" t="s">
        <v>96</v>
      </c>
      <c r="D41" s="188"/>
      <c r="E41" s="188"/>
      <c r="F41" s="225" t="e">
        <f>+F39+F40</f>
        <v>#DIV/0!</v>
      </c>
      <c r="G41" s="226"/>
      <c r="H41" s="159"/>
      <c r="I41" s="38"/>
      <c r="J41" s="363"/>
      <c r="K41" s="236">
        <f>'DCF input'!E98</f>
        <v>0</v>
      </c>
      <c r="L41" s="238" t="e">
        <f>CONCATENATE(ROUND('DCF input'!F98,)," / ",ROUND('DCF input'!F107,0),"c")</f>
        <v>#DIV/0!</v>
      </c>
      <c r="M41" s="239" t="e">
        <f>CONCATENATE(ROUND('DCF input'!G98,)," / ",ROUND('DCF input'!G107,0),"c")</f>
        <v>#DIV/0!</v>
      </c>
      <c r="N41" s="239" t="e">
        <f>CONCATENATE(ROUND('DCF input'!H98,)," / ",ROUND('DCF input'!H107,0),"c")</f>
        <v>#DIV/0!</v>
      </c>
      <c r="O41" s="239" t="e">
        <f>CONCATENATE(ROUND('DCF input'!I98,)," / ",ROUND('DCF input'!I107,0),"c")</f>
        <v>#DIV/0!</v>
      </c>
      <c r="P41" s="238" t="e">
        <f>CONCATENATE(ROUND('DCF input'!J98,)," / ",ROUND('DCF input'!J107,0),"c")</f>
        <v>#DIV/0!</v>
      </c>
      <c r="Q41" s="187"/>
      <c r="R41" s="187"/>
      <c r="S41" s="187"/>
      <c r="T41" s="38"/>
      <c r="U41" s="38"/>
    </row>
    <row r="42" spans="1:22" ht="20.25" customHeight="1">
      <c r="A42" s="164"/>
      <c r="B42" s="159"/>
      <c r="C42" s="231" t="s">
        <v>146</v>
      </c>
      <c r="D42" s="185"/>
      <c r="E42" s="185"/>
      <c r="F42" s="227" t="e">
        <f>+F41/Assumptions!D17*100</f>
        <v>#DIV/0!</v>
      </c>
      <c r="G42" s="229"/>
      <c r="H42" s="159"/>
      <c r="I42" s="38"/>
      <c r="J42" s="364"/>
      <c r="K42" s="241">
        <f>'DCF input'!E99</f>
        <v>0</v>
      </c>
      <c r="L42" s="242" t="e">
        <f>CONCATENATE(ROUND('DCF input'!F99,)," / ",ROUND('DCF input'!F108,0),"c")</f>
        <v>#DIV/0!</v>
      </c>
      <c r="M42" s="242" t="e">
        <f>CONCATENATE(ROUND('DCF input'!G99,)," / ",ROUND('DCF input'!G108,0),"c")</f>
        <v>#DIV/0!</v>
      </c>
      <c r="N42" s="242" t="e">
        <f>CONCATENATE(ROUND('DCF input'!H99,)," / ",ROUND('DCF input'!H108,0),"c")</f>
        <v>#DIV/0!</v>
      </c>
      <c r="O42" s="242" t="e">
        <f>CONCATENATE(ROUND('DCF input'!I99,)," / ",ROUND('DCF input'!I108,0),"c")</f>
        <v>#DIV/0!</v>
      </c>
      <c r="P42" s="242" t="e">
        <f>CONCATENATE(ROUND('DCF input'!J99,)," / ",ROUND('DCF input'!J108,0),"c")</f>
        <v>#DIV/0!</v>
      </c>
      <c r="Q42" s="187"/>
      <c r="R42" s="187"/>
      <c r="S42" s="187"/>
      <c r="T42" s="38"/>
      <c r="U42" s="38"/>
    </row>
    <row r="43" spans="1:22" ht="20.25" customHeight="1">
      <c r="B43" s="38"/>
      <c r="C43" s="233" t="s">
        <v>28</v>
      </c>
      <c r="D43" s="185"/>
      <c r="E43" s="185"/>
      <c r="F43" s="230" t="e">
        <f>+F42/Assumptions!D16-1</f>
        <v>#DIV/0!</v>
      </c>
      <c r="G43" s="22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</row>
    <row r="44" spans="1:22" ht="16" customHeight="1"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190"/>
    </row>
  </sheetData>
  <mergeCells count="3">
    <mergeCell ref="C35:E36"/>
    <mergeCell ref="J37:J42"/>
    <mergeCell ref="L36:P3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Cover sheet</vt:lpstr>
      <vt:lpstr>Assumptions</vt:lpstr>
      <vt:lpstr>Company fin forecasts</vt:lpstr>
      <vt:lpstr> Financials</vt:lpstr>
      <vt:lpstr>DCF input</vt:lpstr>
      <vt:lpstr>DCF output</vt:lpstr>
      <vt:lpstr>circ</vt:lpstr>
      <vt:lpstr>DCF</vt:lpstr>
      <vt:lpstr>DCF_1</vt:lpstr>
      <vt:lpstr>DCF_2</vt:lpstr>
      <vt:lpstr>DCFoutput</vt:lpstr>
      <vt:lpstr>' Financials'!Print_Area</vt:lpstr>
      <vt:lpstr>Assumptions!Print_Area</vt:lpstr>
      <vt:lpstr>'Cover sheet'!Print_Area</vt:lpstr>
      <vt:lpstr>'DCF input'!Print_Area</vt:lpstr>
    </vt:vector>
  </TitlesOfParts>
  <Company>JPMorgan Chase &amp;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J</dc:creator>
  <cp:lastModifiedBy>Archie Sampson</cp:lastModifiedBy>
  <cp:lastPrinted>2019-02-04T16:32:05Z</cp:lastPrinted>
  <dcterms:created xsi:type="dcterms:W3CDTF">2010-12-03T17:25:22Z</dcterms:created>
  <dcterms:modified xsi:type="dcterms:W3CDTF">2026-05-27T03:53:39Z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PitchProPlusUniqueWorkbookId">
    <vt:lpwstr>b0967e03-7035-4363-8f0e-435491059870</vt:lpwstr>
  </property>
  <property fmtid="{D5CDD505-2E9C-101B-9397-08002B2CF9AE}" pid="4" name="HiddenData">
    <vt:lpwstr>Hidden Sheets: __FDSCACHE__,__FDS_SIDEBAR__
</vt:lpwstr>
  </property>
  <property fmtid="{D5CDD505-2E9C-101B-9397-08002B2CF9AE}" pid="5" name="FormulaData">
    <vt:lpwstr>Formula Contents:
Sheet Name: DCF output: S7 (...)</vt:lpwstr>
  </property>
</Properties>
</file>