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externalLink" Target="/xl/externalLinks/externalLink23.xml" Id="rId31" /><Relationship Type="http://schemas.openxmlformats.org/officeDocument/2006/relationships/externalLink" Target="/xl/externalLinks/externalLink24.xml" Id="rId32" /><Relationship Type="http://schemas.openxmlformats.org/officeDocument/2006/relationships/externalLink" Target="/xl/externalLinks/externalLink25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F:/Documents%20and%20Settings/u903129/Desktop/ChartPRO/ChartPRO%20Master%20v3m3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/Documents%20and%20Settings/ldnarb/Desktop/field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H:/Documents%20and%20Settings/ldnhaf/Local%20Settings/Temporary%20Internet%20Files/OLKC/15%2003%2007%20Project%20Blue%20model%20(2)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H:/Corporate%20Finance%20Advice/Clients/Babcock/Defence/Model/BB%20Defence%20Model%20v91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H:/MNILIAD/Workings/Nov%2005/Working%20file%20RelVal%20ODYSSEY%2003.11.05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H:/Corporate%20Finance%20Advice/Projects/Project%20Bia/Models/Feb%202006/Project%20Bia_Feb%202006_v44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H:/data/U416046/Temp/notes9DC704/Talvivaara%20Finance_08.05.06v01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H:/data/U239287/Temp/notesB0A751/ENR%20v15_27.11.06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/Corporate%20Finance%20Advice/Teams/M&amp;A/Esmond/Kazakhmys/2006/ENR%20Model%20V37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H:/temp/MDOne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H:/Gavin%20-%20Work%20Related/Month%20End/February%202005/Jan_%202005%20MANAGEMENT%20ACCOUNTS%20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H:/Corporate%20Finance%20Advice/Teams/M&amp;A/Client%20Directory/H/Hays/Model/Recruitment_model_310507_v77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H:/Mining/Admin/Mincomps/General%20mining/2005/Mining%20Comps%2007_07_05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K:/Mergers/Client%20Directory/F/FKI/FKI_model_v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Copy%20of%20Rusal_model_v%2016%20xls.zip/Copy%20of%20Rusal_model_v.16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H:/Corporate%20Finance%20Advice/Projects/Project%20Tuck/Models/Round%20II/Project%20Tuck_JPMC%20version%20v58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H:/Gavin%20-%20Work%20Related/Month%20End/February%202005/Executive%20Summary%20(Tear%20Sheets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G:/Documents%20and%20Settings/amaharaj/Local%20Settings/Temporary%20Internet%20Files/OLK84/Project%20Victoria%20version%201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H:/Lydian/NGC%20ongoing/Lydian%20Model/NGCH%20Model%20(LCAJF)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S:/Deals/Dolphin/Lydian%20Model/legal/Anylyst%20Company%20Model/DCF%20Cocoon%20030716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H:/Corporate%20Finance%20Advice/Clients/Babcock/Project%20Diablo/Model/superceded/DML%20Model%20(version%202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/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> </v>
          </cell>
          <cell r="F13" t="str">
            <v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> </v>
          </cell>
          <cell r="O13" t="str">
            <v> </v>
          </cell>
          <cell r="P13" t="str">
            <v> </v>
          </cell>
          <cell r="Q13" t="str">
            <v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> </v>
          </cell>
          <cell r="Z13" t="str">
            <v> </v>
          </cell>
          <cell r="AA13" t="str">
            <v> </v>
          </cell>
          <cell r="AB13" t="str">
            <v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> </v>
          </cell>
          <cell r="AK13" t="str">
            <v> </v>
          </cell>
          <cell r="AL13" t="str">
            <v> </v>
          </cell>
          <cell r="AM13" t="str">
            <v> </v>
          </cell>
          <cell r="AN13" t="str">
            <v> </v>
          </cell>
          <cell r="AO13" t="str">
            <v> </v>
          </cell>
          <cell r="AP13" t="str">
            <v> </v>
          </cell>
          <cell r="AQ13" t="str">
            <v> </v>
          </cell>
          <cell r="AT13" t="str">
            <v> </v>
          </cell>
          <cell r="AV13" t="str">
            <v> </v>
          </cell>
          <cell r="AW13" t="str">
            <v> </v>
          </cell>
          <cell r="AX13" t="str">
            <v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> </v>
          </cell>
          <cell r="E21" t="str">
            <v> </v>
          </cell>
          <cell r="F21" t="str">
            <v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> </v>
          </cell>
          <cell r="O21" t="str">
            <v> </v>
          </cell>
          <cell r="P21" t="str">
            <v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> </v>
          </cell>
          <cell r="Z21" t="str">
            <v> </v>
          </cell>
          <cell r="AA21" t="str">
            <v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> </v>
          </cell>
          <cell r="F45" t="str">
            <v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> </v>
          </cell>
          <cell r="O45" t="str">
            <v> </v>
          </cell>
          <cell r="P45" t="str">
            <v> </v>
          </cell>
          <cell r="Q45" t="str">
            <v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> </v>
          </cell>
          <cell r="Z45" t="str">
            <v> </v>
          </cell>
          <cell r="AA45" t="str">
            <v> </v>
          </cell>
          <cell r="AB45" t="str">
            <v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> </v>
          </cell>
          <cell r="AK45" t="str">
            <v> </v>
          </cell>
          <cell r="AL45" t="str">
            <v> </v>
          </cell>
          <cell r="AM45" t="str">
            <v> </v>
          </cell>
          <cell r="AN45" t="str">
            <v> </v>
          </cell>
          <cell r="AO45" t="str">
            <v> </v>
          </cell>
          <cell r="AP45" t="str">
            <v> </v>
          </cell>
          <cell r="AQ45" t="str">
            <v> </v>
          </cell>
          <cell r="AT45" t="str">
            <v> </v>
          </cell>
          <cell r="AV45" t="str">
            <v> </v>
          </cell>
          <cell r="AW45" t="str">
            <v> </v>
          </cell>
          <cell r="AX45" t="str">
            <v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> </v>
          </cell>
          <cell r="E62" t="str">
            <v> </v>
          </cell>
          <cell r="F62" t="str">
            <v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> </v>
          </cell>
          <cell r="AW116" t="str">
            <v> </v>
          </cell>
          <cell r="AX116" t="str">
            <v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> </v>
          </cell>
          <cell r="AW120" t="str">
            <v> </v>
          </cell>
          <cell r="AX120" t="str">
            <v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> </v>
          </cell>
          <cell r="E152" t="str">
            <v> </v>
          </cell>
          <cell r="F152" t="str">
            <v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> </v>
          </cell>
          <cell r="O152" t="str">
            <v> </v>
          </cell>
          <cell r="P152" t="str">
            <v> </v>
          </cell>
          <cell r="Q152" t="str">
            <v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> </v>
          </cell>
          <cell r="Z152" t="str">
            <v> </v>
          </cell>
          <cell r="AA152" t="str">
            <v> </v>
          </cell>
          <cell r="AB152" t="str">
            <v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> </v>
          </cell>
          <cell r="AK152" t="str">
            <v> </v>
          </cell>
          <cell r="AL152" t="str">
            <v> </v>
          </cell>
          <cell r="AM152" t="str">
            <v> </v>
          </cell>
          <cell r="AN152" t="str">
            <v> </v>
          </cell>
          <cell r="AO152" t="str">
            <v> </v>
          </cell>
          <cell r="AP152" t="str">
            <v> </v>
          </cell>
          <cell r="AQ152" t="str">
            <v> </v>
          </cell>
          <cell r="AT152" t="str">
            <v> </v>
          </cell>
          <cell r="AV152" t="str">
            <v> </v>
          </cell>
          <cell r="AW152" t="str">
            <v> </v>
          </cell>
          <cell r="AX152" t="str">
            <v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> </v>
          </cell>
          <cell r="AN171" t="str">
            <v> </v>
          </cell>
          <cell r="AO171" t="str">
            <v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> </v>
          </cell>
          <cell r="E173" t="str">
            <v> </v>
          </cell>
          <cell r="F173" t="str">
            <v> </v>
          </cell>
          <cell r="N173" t="str">
            <v> </v>
          </cell>
          <cell r="O173" t="str">
            <v> </v>
          </cell>
          <cell r="P173" t="str">
            <v> </v>
          </cell>
          <cell r="Q173" t="str">
            <v> </v>
          </cell>
          <cell r="Y173" t="str">
            <v> </v>
          </cell>
          <cell r="Z173" t="str">
            <v> </v>
          </cell>
          <cell r="AA173" t="str">
            <v> </v>
          </cell>
          <cell r="AB173" t="str">
            <v> </v>
          </cell>
          <cell r="AJ173" t="str">
            <v> </v>
          </cell>
          <cell r="AK173" t="str">
            <v> </v>
          </cell>
          <cell r="AL173" t="str">
            <v> </v>
          </cell>
          <cell r="AM173" t="str">
            <v> </v>
          </cell>
          <cell r="AN173" t="str">
            <v> </v>
          </cell>
          <cell r="AO173" t="str">
            <v> </v>
          </cell>
          <cell r="AP173" t="str">
            <v> </v>
          </cell>
          <cell r="AQ173" t="str">
            <v> </v>
          </cell>
          <cell r="AT173" t="str">
            <v> </v>
          </cell>
          <cell r="AV173" t="str">
            <v> </v>
          </cell>
          <cell r="AW173" t="str">
            <v> </v>
          </cell>
          <cell r="AX173" t="str">
            <v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> </v>
          </cell>
          <cell r="E275" t="str">
            <v> </v>
          </cell>
          <cell r="F275" t="str">
            <v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> </v>
          </cell>
          <cell r="O275" t="str">
            <v> </v>
          </cell>
          <cell r="P275" t="str">
            <v> </v>
          </cell>
          <cell r="Q275" t="str">
            <v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> </v>
          </cell>
          <cell r="Z275" t="str">
            <v> </v>
          </cell>
          <cell r="AA275" t="str">
            <v> </v>
          </cell>
          <cell r="AB275" t="str">
            <v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> </v>
          </cell>
          <cell r="AK275" t="str">
            <v> </v>
          </cell>
          <cell r="AL275" t="str">
            <v> </v>
          </cell>
          <cell r="AM275" t="str">
            <v> </v>
          </cell>
          <cell r="AN275" t="str">
            <v> </v>
          </cell>
          <cell r="AO275" t="str">
            <v> </v>
          </cell>
          <cell r="AP275" t="str">
            <v> </v>
          </cell>
          <cell r="AQ275" t="str">
            <v> </v>
          </cell>
          <cell r="AT275" t="str">
            <v> </v>
          </cell>
          <cell r="AV275" t="str">
            <v> </v>
          </cell>
          <cell r="AW275" t="str">
            <v> </v>
          </cell>
          <cell r="AX275" t="str">
            <v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> </v>
          </cell>
          <cell r="E277" t="str">
            <v> </v>
          </cell>
          <cell r="F277" t="str">
            <v> </v>
          </cell>
          <cell r="N277" t="str">
            <v> </v>
          </cell>
          <cell r="O277" t="str">
            <v> </v>
          </cell>
          <cell r="P277" t="str">
            <v> </v>
          </cell>
          <cell r="Q277" t="str">
            <v> </v>
          </cell>
          <cell r="Y277" t="str">
            <v> </v>
          </cell>
          <cell r="Z277" t="str">
            <v> </v>
          </cell>
          <cell r="AA277" t="str">
            <v> </v>
          </cell>
          <cell r="AB277" t="str">
            <v> </v>
          </cell>
          <cell r="AJ277" t="str">
            <v> </v>
          </cell>
          <cell r="AK277" t="str">
            <v> </v>
          </cell>
          <cell r="AL277" t="str">
            <v> </v>
          </cell>
          <cell r="AM277" t="str">
            <v> </v>
          </cell>
          <cell r="AN277" t="str">
            <v> </v>
          </cell>
          <cell r="AO277" t="str">
            <v> </v>
          </cell>
          <cell r="AP277" t="str">
            <v> </v>
          </cell>
          <cell r="AQ277" t="str">
            <v> </v>
          </cell>
          <cell r="AT277" t="str">
            <v> </v>
          </cell>
          <cell r="AV277" t="str">
            <v> </v>
          </cell>
          <cell r="AW277" t="str">
            <v> </v>
          </cell>
          <cell r="AX277" t="str">
            <v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> </v>
          </cell>
          <cell r="O385" t="str">
            <v> </v>
          </cell>
          <cell r="P385" t="str">
            <v> </v>
          </cell>
          <cell r="Q385" t="str">
            <v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> </v>
          </cell>
          <cell r="O386" t="str">
            <v> </v>
          </cell>
          <cell r="P386" t="str">
            <v> </v>
          </cell>
          <cell r="Q386" t="str">
            <v> </v>
          </cell>
        </row>
        <row r="387">
          <cell r="N387" t="str">
            <v> </v>
          </cell>
          <cell r="O387" t="str">
            <v> </v>
          </cell>
          <cell r="P387" t="str">
            <v> </v>
          </cell>
          <cell r="Q387" t="str">
            <v> </v>
          </cell>
        </row>
        <row r="388">
          <cell r="N388" t="str">
            <v> </v>
          </cell>
          <cell r="O388" t="str">
            <v> </v>
          </cell>
          <cell r="P388" t="str">
            <v> </v>
          </cell>
          <cell r="Q388" t="str">
            <v> </v>
          </cell>
          <cell r="Y388" t="str">
            <v> </v>
          </cell>
          <cell r="Z388" t="str">
            <v> </v>
          </cell>
          <cell r="AA388" t="str">
            <v> </v>
          </cell>
          <cell r="AB388" t="str">
            <v> </v>
          </cell>
          <cell r="AJ388" t="str">
            <v> </v>
          </cell>
          <cell r="AK388" t="str">
            <v> </v>
          </cell>
          <cell r="AL388" t="str">
            <v> </v>
          </cell>
          <cell r="AM388" t="str">
            <v> </v>
          </cell>
          <cell r="AN388" t="str">
            <v> </v>
          </cell>
          <cell r="AO388" t="str">
            <v> </v>
          </cell>
          <cell r="AP388" t="str">
            <v> </v>
          </cell>
          <cell r="AQ388" t="str">
            <v> </v>
          </cell>
          <cell r="AT388" t="str">
            <v> </v>
          </cell>
          <cell r="AV388" t="str">
            <v> </v>
          </cell>
          <cell r="AW388" t="str">
            <v> </v>
          </cell>
          <cell r="AX388" t="str">
            <v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> </v>
          </cell>
          <cell r="BU404" t="str">
            <v> </v>
          </cell>
          <cell r="BV404" t="str">
            <v> </v>
          </cell>
          <cell r="BW404" t="str">
            <v> </v>
          </cell>
          <cell r="BX404" t="str">
            <v> </v>
          </cell>
          <cell r="BY404" t="str">
            <v> </v>
          </cell>
          <cell r="BZ404" t="str">
            <v> </v>
          </cell>
          <cell r="CB404" t="str">
            <v> </v>
          </cell>
          <cell r="CC404" t="str">
            <v> </v>
          </cell>
          <cell r="CD404" t="str">
            <v> </v>
          </cell>
          <cell r="CE404" t="str">
            <v> </v>
          </cell>
          <cell r="CF404" t="str">
            <v> </v>
          </cell>
          <cell r="CG404" t="str">
            <v> </v>
          </cell>
          <cell r="CH404" t="str">
            <v> </v>
          </cell>
          <cell r="CI404" t="str">
            <v> </v>
          </cell>
          <cell r="CJ404" t="str">
            <v> </v>
          </cell>
          <cell r="CL404" t="str">
            <v> </v>
          </cell>
          <cell r="CM404" t="str">
            <v> </v>
          </cell>
          <cell r="CN404" t="str">
            <v> </v>
          </cell>
          <cell r="CO404" t="str">
            <v> </v>
          </cell>
          <cell r="CP404" t="str">
            <v> </v>
          </cell>
          <cell r="CQ404" t="str">
            <v> </v>
          </cell>
          <cell r="CR404" t="str">
            <v> </v>
          </cell>
          <cell r="CS404" t="str">
            <v> </v>
          </cell>
          <cell r="CT404" t="str">
            <v> </v>
          </cell>
          <cell r="CV404" t="str">
            <v> </v>
          </cell>
          <cell r="CW404" t="str">
            <v> </v>
          </cell>
          <cell r="CX404" t="str">
            <v> </v>
          </cell>
          <cell r="CY404" t="str">
            <v> </v>
          </cell>
          <cell r="CZ404" t="str">
            <v> </v>
          </cell>
          <cell r="DA404" t="str">
            <v> </v>
          </cell>
          <cell r="DB404" t="str">
            <v> </v>
          </cell>
          <cell r="DC404" t="str">
            <v> </v>
          </cell>
          <cell r="DD404" t="str">
            <v> </v>
          </cell>
          <cell r="DF404" t="str">
            <v> </v>
          </cell>
          <cell r="DG404" t="str">
            <v> </v>
          </cell>
          <cell r="DH404" t="str">
            <v> </v>
          </cell>
          <cell r="DI404" t="str">
            <v> </v>
          </cell>
          <cell r="DJ404" t="str">
            <v> </v>
          </cell>
          <cell r="DK404" t="str">
            <v> </v>
          </cell>
          <cell r="DL404" t="str">
            <v> </v>
          </cell>
          <cell r="DM404" t="str">
            <v> </v>
          </cell>
          <cell r="DN404" t="str">
            <v> </v>
          </cell>
          <cell r="DP404" t="str">
            <v> </v>
          </cell>
          <cell r="DQ404" t="str">
            <v> </v>
          </cell>
          <cell r="DR404" t="str">
            <v> </v>
          </cell>
          <cell r="DS404" t="str">
            <v> </v>
          </cell>
          <cell r="DT404" t="str">
            <v> </v>
          </cell>
          <cell r="DU404" t="str">
            <v> </v>
          </cell>
          <cell r="DV404" t="str">
            <v> </v>
          </cell>
          <cell r="DW404" t="str">
            <v> </v>
          </cell>
          <cell r="DX404" t="str">
            <v> </v>
          </cell>
          <cell r="DZ404" t="str">
            <v> </v>
          </cell>
          <cell r="EA404" t="str">
            <v> </v>
          </cell>
          <cell r="EB404" t="str">
            <v> </v>
          </cell>
          <cell r="EC404" t="str">
            <v> </v>
          </cell>
          <cell r="ED404" t="str">
            <v> </v>
          </cell>
          <cell r="EE404" t="str">
            <v> </v>
          </cell>
          <cell r="EF404" t="str">
            <v> </v>
          </cell>
          <cell r="EG404" t="str">
            <v> </v>
          </cell>
          <cell r="EH404" t="str">
            <v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> </v>
          </cell>
          <cell r="BU405" t="str">
            <v> </v>
          </cell>
          <cell r="BV405" t="str">
            <v> </v>
          </cell>
          <cell r="BW405" t="str">
            <v> </v>
          </cell>
          <cell r="BX405" t="str">
            <v> </v>
          </cell>
          <cell r="BY405" t="str">
            <v> </v>
          </cell>
          <cell r="BZ405" t="str">
            <v> </v>
          </cell>
          <cell r="CB405" t="str">
            <v> </v>
          </cell>
          <cell r="CC405" t="str">
            <v> </v>
          </cell>
          <cell r="CD405" t="str">
            <v> </v>
          </cell>
          <cell r="CE405" t="str">
            <v> </v>
          </cell>
          <cell r="CF405" t="str">
            <v> </v>
          </cell>
          <cell r="CG405" t="str">
            <v> </v>
          </cell>
          <cell r="CH405" t="str">
            <v> </v>
          </cell>
          <cell r="CI405" t="str">
            <v> </v>
          </cell>
          <cell r="CJ405" t="str">
            <v> </v>
          </cell>
          <cell r="CL405" t="str">
            <v> </v>
          </cell>
          <cell r="CM405" t="str">
            <v> </v>
          </cell>
          <cell r="CN405" t="str">
            <v> </v>
          </cell>
          <cell r="CO405" t="str">
            <v> </v>
          </cell>
          <cell r="CP405" t="str">
            <v> </v>
          </cell>
          <cell r="CQ405" t="str">
            <v> </v>
          </cell>
          <cell r="CR405" t="str">
            <v> </v>
          </cell>
          <cell r="CS405" t="str">
            <v> </v>
          </cell>
          <cell r="CT405" t="str">
            <v> </v>
          </cell>
          <cell r="CV405" t="str">
            <v> </v>
          </cell>
          <cell r="CW405" t="str">
            <v> </v>
          </cell>
          <cell r="CX405" t="str">
            <v> </v>
          </cell>
          <cell r="CY405" t="str">
            <v> </v>
          </cell>
          <cell r="CZ405" t="str">
            <v> </v>
          </cell>
          <cell r="DA405" t="str">
            <v> </v>
          </cell>
          <cell r="DB405" t="str">
            <v> </v>
          </cell>
          <cell r="DC405" t="str">
            <v> </v>
          </cell>
          <cell r="DD405" t="str">
            <v> </v>
          </cell>
          <cell r="DF405" t="str">
            <v> </v>
          </cell>
          <cell r="DG405" t="str">
            <v> </v>
          </cell>
          <cell r="DH405" t="str">
            <v> </v>
          </cell>
          <cell r="DI405" t="str">
            <v> </v>
          </cell>
          <cell r="DJ405" t="str">
            <v> </v>
          </cell>
          <cell r="DK405" t="str">
            <v> </v>
          </cell>
          <cell r="DL405" t="str">
            <v> </v>
          </cell>
          <cell r="DM405" t="str">
            <v> </v>
          </cell>
          <cell r="DN405" t="str">
            <v> </v>
          </cell>
          <cell r="DP405" t="str">
            <v> </v>
          </cell>
          <cell r="DQ405" t="str">
            <v> </v>
          </cell>
          <cell r="DR405" t="str">
            <v> </v>
          </cell>
          <cell r="DS405" t="str">
            <v> </v>
          </cell>
          <cell r="DT405" t="str">
            <v> </v>
          </cell>
          <cell r="DU405" t="str">
            <v> </v>
          </cell>
          <cell r="DV405" t="str">
            <v> </v>
          </cell>
          <cell r="DW405" t="str">
            <v> </v>
          </cell>
          <cell r="DX405" t="str">
            <v> </v>
          </cell>
          <cell r="DZ405" t="str">
            <v> </v>
          </cell>
          <cell r="EA405" t="str">
            <v> </v>
          </cell>
          <cell r="EB405" t="str">
            <v> </v>
          </cell>
          <cell r="EC405" t="str">
            <v> </v>
          </cell>
          <cell r="ED405" t="str">
            <v> </v>
          </cell>
          <cell r="EE405" t="str">
            <v> </v>
          </cell>
          <cell r="EF405" t="str">
            <v> </v>
          </cell>
          <cell r="EG405" t="str">
            <v> </v>
          </cell>
          <cell r="EH405" t="str">
            <v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> </v>
          </cell>
          <cell r="BU412" t="str">
            <v> </v>
          </cell>
          <cell r="BY412">
            <v>496</v>
          </cell>
          <cell r="CD412" t="str">
            <v> </v>
          </cell>
          <cell r="CE412" t="str">
            <v> </v>
          </cell>
          <cell r="CI412">
            <v>1148</v>
          </cell>
          <cell r="CN412" t="str">
            <v> </v>
          </cell>
          <cell r="CO412" t="str">
            <v> </v>
          </cell>
          <cell r="CS412">
            <v>282</v>
          </cell>
          <cell r="CX412" t="str">
            <v> </v>
          </cell>
          <cell r="CY412" t="str">
            <v> </v>
          </cell>
          <cell r="DC412">
            <v>3903</v>
          </cell>
          <cell r="DH412" t="str">
            <v> </v>
          </cell>
          <cell r="DI412" t="str">
            <v> </v>
          </cell>
          <cell r="DM412">
            <v>341</v>
          </cell>
          <cell r="DR412" t="str">
            <v> </v>
          </cell>
          <cell r="DS412" t="str">
            <v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> </v>
          </cell>
          <cell r="CE431" t="str">
            <v> </v>
          </cell>
          <cell r="CO431" t="str">
            <v> </v>
          </cell>
          <cell r="CY431" t="str">
            <v> </v>
          </cell>
          <cell r="DI431" t="str">
            <v> </v>
          </cell>
          <cell r="DS431" t="str">
            <v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> </v>
          </cell>
          <cell r="CO439" t="str">
            <v> </v>
          </cell>
          <cell r="CY439" t="str">
            <v> </v>
          </cell>
          <cell r="DI439" t="str">
            <v> </v>
          </cell>
          <cell r="DS439" t="str">
            <v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> </v>
          </cell>
          <cell r="CE447" t="str">
            <v> </v>
          </cell>
          <cell r="CO447" t="str">
            <v> </v>
          </cell>
          <cell r="CY447" t="str">
            <v> </v>
          </cell>
          <cell r="DI447" t="str">
            <v> </v>
          </cell>
          <cell r="DS447" t="str">
            <v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> </v>
          </cell>
          <cell r="CE455" t="str">
            <v> </v>
          </cell>
          <cell r="CO455" t="str">
            <v> </v>
          </cell>
          <cell r="CY455" t="str">
            <v> </v>
          </cell>
          <cell r="DI455" t="str">
            <v> </v>
          </cell>
          <cell r="DS455" t="str">
            <v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> </v>
          </cell>
          <cell r="N742" t="str">
            <v> </v>
          </cell>
          <cell r="O742" t="str">
            <v> </v>
          </cell>
          <cell r="P742" t="str">
            <v> </v>
          </cell>
          <cell r="Q742" t="str">
            <v> </v>
          </cell>
          <cell r="S742">
            <v>431.20001200000002</v>
          </cell>
          <cell r="T742">
            <v>482</v>
          </cell>
          <cell r="U742" t="str">
            <v> </v>
          </cell>
          <cell r="Y742" t="str">
            <v> </v>
          </cell>
          <cell r="Z742" t="str">
            <v> </v>
          </cell>
          <cell r="AA742" t="str">
            <v> </v>
          </cell>
          <cell r="AB742" t="str">
            <v> </v>
          </cell>
          <cell r="AD742">
            <v>326.20001200000002</v>
          </cell>
          <cell r="AE742">
            <v>372</v>
          </cell>
          <cell r="AF742" t="str">
            <v> </v>
          </cell>
          <cell r="AJ742" t="str">
            <v> </v>
          </cell>
          <cell r="AK742" t="str">
            <v> </v>
          </cell>
          <cell r="AL742" t="str">
            <v> </v>
          </cell>
          <cell r="AM742" t="str">
            <v> </v>
          </cell>
          <cell r="AN742" t="str">
            <v> </v>
          </cell>
          <cell r="AO742" t="str">
            <v> </v>
          </cell>
          <cell r="AP742" t="str">
            <v> </v>
          </cell>
          <cell r="AQ742" t="str">
            <v> </v>
          </cell>
          <cell r="AT742" t="str">
            <v> </v>
          </cell>
          <cell r="AV742" t="str">
            <v> </v>
          </cell>
          <cell r="AW742" t="str">
            <v> </v>
          </cell>
          <cell r="AX742" t="str">
            <v> </v>
          </cell>
          <cell r="AZ742">
            <v>223.98800700000001</v>
          </cell>
          <cell r="BA742">
            <v>256.39999399999999</v>
          </cell>
          <cell r="BB742" t="str">
            <v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> </v>
          </cell>
          <cell r="N751" t="str">
            <v> </v>
          </cell>
          <cell r="O751" t="str">
            <v> </v>
          </cell>
          <cell r="P751" t="str">
            <v> </v>
          </cell>
          <cell r="Q751" t="str">
            <v> </v>
          </cell>
          <cell r="S751">
            <v>256.65496107159998</v>
          </cell>
          <cell r="T751">
            <v>282.51941074209998</v>
          </cell>
          <cell r="U751" t="str">
            <v> </v>
          </cell>
          <cell r="Y751" t="str">
            <v> </v>
          </cell>
          <cell r="Z751" t="str">
            <v> </v>
          </cell>
          <cell r="AA751" t="str">
            <v> </v>
          </cell>
          <cell r="AB751" t="str">
            <v> </v>
          </cell>
          <cell r="AD751">
            <v>206.91563574849997</v>
          </cell>
          <cell r="AE751">
            <v>227.80614165049997</v>
          </cell>
          <cell r="AF751" t="str">
            <v> </v>
          </cell>
          <cell r="AJ751" t="str">
            <v> </v>
          </cell>
          <cell r="AK751" t="str">
            <v> </v>
          </cell>
          <cell r="AL751" t="str">
            <v> </v>
          </cell>
          <cell r="AM751" t="str">
            <v> </v>
          </cell>
          <cell r="AN751" t="str">
            <v> </v>
          </cell>
          <cell r="AO751" t="str">
            <v> </v>
          </cell>
          <cell r="AP751" t="str">
            <v> </v>
          </cell>
          <cell r="AQ751" t="str">
            <v> </v>
          </cell>
          <cell r="AT751" t="str">
            <v> </v>
          </cell>
          <cell r="AV751" t="str">
            <v> </v>
          </cell>
          <cell r="AW751" t="str">
            <v> </v>
          </cell>
          <cell r="AX751" t="str">
            <v> </v>
          </cell>
          <cell r="AZ751">
            <v>130.20762313579999</v>
          </cell>
          <cell r="BA751">
            <v>142.9309445172</v>
          </cell>
          <cell r="BB751" t="str">
            <v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> </v>
          </cell>
          <cell r="N752" t="str">
            <v> </v>
          </cell>
          <cell r="O752" t="str">
            <v> </v>
          </cell>
          <cell r="P752" t="str">
            <v> </v>
          </cell>
          <cell r="Q752" t="str">
            <v> </v>
          </cell>
          <cell r="S752">
            <v>256.84100097249996</v>
          </cell>
          <cell r="T752">
            <v>273.96323490690003</v>
          </cell>
          <cell r="U752" t="str">
            <v> </v>
          </cell>
          <cell r="Y752" t="str">
            <v> </v>
          </cell>
          <cell r="Z752" t="str">
            <v> </v>
          </cell>
          <cell r="AA752" t="str">
            <v> </v>
          </cell>
          <cell r="AB752" t="str">
            <v> </v>
          </cell>
          <cell r="AD752">
            <v>194.16941905969998</v>
          </cell>
          <cell r="AE752">
            <v>206.31777343239997</v>
          </cell>
          <cell r="AF752" t="str">
            <v> </v>
          </cell>
          <cell r="AJ752" t="str">
            <v> </v>
          </cell>
          <cell r="AK752" t="str">
            <v> </v>
          </cell>
          <cell r="AL752" t="str">
            <v> </v>
          </cell>
          <cell r="AM752" t="str">
            <v> </v>
          </cell>
          <cell r="AN752" t="str">
            <v> </v>
          </cell>
          <cell r="AO752" t="str">
            <v> </v>
          </cell>
          <cell r="AP752" t="str">
            <v> </v>
          </cell>
          <cell r="AQ752" t="str">
            <v> </v>
          </cell>
          <cell r="AT752" t="str">
            <v> </v>
          </cell>
          <cell r="AV752" t="str">
            <v> </v>
          </cell>
          <cell r="AW752" t="str">
            <v> </v>
          </cell>
          <cell r="AX752" t="str">
            <v> </v>
          </cell>
          <cell r="AZ752">
            <v>128.1255306086</v>
          </cell>
          <cell r="BA752">
            <v>136.69860679019999</v>
          </cell>
          <cell r="BB752" t="str">
            <v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> </v>
          </cell>
          <cell r="O754" t="str">
            <v> </v>
          </cell>
          <cell r="P754" t="str">
            <v> </v>
          </cell>
          <cell r="Q754" t="str">
            <v> </v>
          </cell>
          <cell r="S754">
            <v>236</v>
          </cell>
          <cell r="T754">
            <v>249</v>
          </cell>
          <cell r="U754">
            <v>298</v>
          </cell>
          <cell r="Y754" t="str">
            <v> </v>
          </cell>
          <cell r="Z754" t="str">
            <v> </v>
          </cell>
          <cell r="AA754" t="str">
            <v> </v>
          </cell>
          <cell r="AB754" t="str">
            <v> </v>
          </cell>
          <cell r="AD754">
            <v>194</v>
          </cell>
          <cell r="AE754">
            <v>206</v>
          </cell>
          <cell r="AF754">
            <v>262</v>
          </cell>
          <cell r="AJ754" t="str">
            <v> </v>
          </cell>
          <cell r="AK754" t="str">
            <v> </v>
          </cell>
          <cell r="AL754" t="str">
            <v> </v>
          </cell>
          <cell r="AM754" t="str">
            <v> </v>
          </cell>
          <cell r="AN754" t="str">
            <v> </v>
          </cell>
          <cell r="AO754" t="str">
            <v> </v>
          </cell>
          <cell r="AP754" t="str">
            <v> </v>
          </cell>
          <cell r="AQ754" t="str">
            <v> </v>
          </cell>
          <cell r="AT754" t="str">
            <v> </v>
          </cell>
          <cell r="AV754" t="str">
            <v> </v>
          </cell>
          <cell r="AW754" t="str">
            <v> </v>
          </cell>
          <cell r="AX754" t="str">
            <v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> </v>
          </cell>
          <cell r="N759" t="str">
            <v> </v>
          </cell>
          <cell r="O759" t="str">
            <v> </v>
          </cell>
          <cell r="P759" t="str">
            <v> </v>
          </cell>
          <cell r="Q759" t="str">
            <v> </v>
          </cell>
          <cell r="S759">
            <v>280</v>
          </cell>
          <cell r="T759">
            <v>305</v>
          </cell>
          <cell r="U759" t="str">
            <v> </v>
          </cell>
          <cell r="Y759" t="str">
            <v> </v>
          </cell>
          <cell r="Z759" t="str">
            <v> </v>
          </cell>
          <cell r="AA759" t="str">
            <v> </v>
          </cell>
          <cell r="AB759" t="str">
            <v> </v>
          </cell>
          <cell r="AD759">
            <v>215</v>
          </cell>
          <cell r="AE759">
            <v>235</v>
          </cell>
          <cell r="AF759" t="str">
            <v> </v>
          </cell>
          <cell r="AJ759" t="str">
            <v> </v>
          </cell>
          <cell r="AK759" t="str">
            <v> </v>
          </cell>
          <cell r="AL759" t="str">
            <v> </v>
          </cell>
          <cell r="AM759" t="str">
            <v> </v>
          </cell>
          <cell r="AN759" t="str">
            <v> </v>
          </cell>
          <cell r="AO759" t="str">
            <v> </v>
          </cell>
          <cell r="AP759" t="str">
            <v> </v>
          </cell>
          <cell r="AQ759" t="str">
            <v> </v>
          </cell>
          <cell r="AT759" t="str">
            <v> </v>
          </cell>
          <cell r="AV759" t="str">
            <v> </v>
          </cell>
          <cell r="AW759" t="str">
            <v> </v>
          </cell>
          <cell r="AX759" t="str">
            <v> </v>
          </cell>
          <cell r="AZ759">
            <v>100.760002</v>
          </cell>
          <cell r="BA759">
            <v>116.959999</v>
          </cell>
          <cell r="BB759" t="str">
            <v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> </v>
          </cell>
          <cell r="F764" t="str">
            <v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35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 t="n">
        <v>0</v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 t="n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 t="n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 t="n">
        <v>0.038</v>
      </c>
      <c r="E29" t="inlineStr">
        <is>
          <t>p_da_pct</t>
        </is>
      </c>
    </row>
    <row r="30">
      <c r="C30" t="inlineStr">
        <is>
          <t>Capex / revenue</t>
        </is>
      </c>
      <c r="D30" t="n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 t="n">
        <v>0.015</v>
      </c>
      <c r="E31" t="inlineStr">
        <is>
          <t>p_wc_pct</t>
        </is>
      </c>
    </row>
    <row r="32">
      <c r="C32" t="inlineStr">
        <is>
          <t>Tax rate</t>
        </is>
      </c>
      <c r="D32" t="n">
        <v>0.19</v>
      </c>
      <c r="E32" t="inlineStr">
        <is>
          <t>p_tax_rate</t>
        </is>
      </c>
    </row>
    <row r="33">
      <c r="C33" t="inlineStr">
        <is>
          <t>WACC</t>
        </is>
      </c>
      <c r="D33" t="n">
        <v>0.1004798786054746</v>
      </c>
      <c r="E33" t="inlineStr">
        <is>
          <t>p_wacc</t>
        </is>
      </c>
    </row>
    <row r="34">
      <c r="C34" t="inlineStr">
        <is>
          <t>Perpetuity growth rate</t>
        </is>
      </c>
      <c r="D34" t="n">
        <v>0.025</v>
      </c>
      <c r="E34" t="inlineStr">
        <is>
          <t>p_perp_g</t>
        </is>
      </c>
    </row>
    <row r="35">
      <c r="C35" t="inlineStr">
        <is>
          <t>Exit EBITDA multiple (implied — memo/check)</t>
        </is>
      </c>
      <c r="D35" t="n">
        <v>5.12</v>
      </c>
      <c r="E35" t="inlineStr">
        <is>
          <t>p_exit_multiple (no comps; implied from perpetuity)</t>
        </is>
      </c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  <c r="G3" t="inlineStr">
        <is>
          <t>Forecast (assumption-driven, FY26+) →</t>
        </is>
      </c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G5">
        <f>F5*(1+Assumptions!$D$27)</f>
        <v/>
      </c>
      <c r="H5">
        <f>G5*(1+Assumptions!$D$27)</f>
        <v/>
      </c>
      <c r="I5">
        <f>H5*(1+Assumptions!$D$27)</f>
        <v/>
      </c>
      <c r="J5">
        <f>I5*(1+Assumptions!$D$27)</f>
        <v/>
      </c>
      <c r="K5">
        <f>J5*(1+Assumptions!$D$27)</f>
        <v/>
      </c>
      <c r="L5" s="318">
        <f>K5*(1+Assumptions!$D$27)</f>
        <v/>
      </c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  <c r="G6">
        <f>G5/F5-1</f>
        <v/>
      </c>
      <c r="H6">
        <f>H5/G5-1</f>
        <v/>
      </c>
      <c r="I6">
        <f>I5/H5-1</f>
        <v/>
      </c>
      <c r="J6">
        <f>J5/I5-1</f>
        <v/>
      </c>
      <c r="K6">
        <f>K5/J5-1</f>
        <v/>
      </c>
      <c r="L6">
        <f>L5/K5-1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  <c r="G7">
        <f>G5*$F$8</f>
        <v/>
      </c>
      <c r="H7">
        <f>H5*$F$8</f>
        <v/>
      </c>
      <c r="I7">
        <f>I5*$F$8</f>
        <v/>
      </c>
      <c r="J7">
        <f>J5*$F$8</f>
        <v/>
      </c>
      <c r="K7">
        <f>K5*$F$8</f>
        <v/>
      </c>
      <c r="L7">
        <f>L5*$F$8</f>
        <v/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  <c r="G8">
        <f>G7/G5</f>
        <v/>
      </c>
      <c r="H8">
        <f>H7/H5</f>
        <v/>
      </c>
      <c r="I8">
        <f>I7/I5</f>
        <v/>
      </c>
      <c r="J8">
        <f>J7/J5</f>
        <v/>
      </c>
      <c r="K8">
        <f>K7/K5</f>
        <v/>
      </c>
      <c r="L8">
        <f>L7/L5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  <c r="G9">
        <f>G10-G7</f>
        <v/>
      </c>
      <c r="H9">
        <f>H10-H7</f>
        <v/>
      </c>
      <c r="I9">
        <f>I10-I7</f>
        <v/>
      </c>
      <c r="J9">
        <f>J10-J7</f>
        <v/>
      </c>
      <c r="K9">
        <f>K10-K7</f>
        <v/>
      </c>
      <c r="L9">
        <f>L10-L7</f>
        <v/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  <c r="G10">
        <f>G13-G12</f>
        <v/>
      </c>
      <c r="H10">
        <f>H13-H12</f>
        <v/>
      </c>
      <c r="I10">
        <f>I13-I12</f>
        <v/>
      </c>
      <c r="J10">
        <f>J13-J12</f>
        <v/>
      </c>
      <c r="K10">
        <f>K13-K12</f>
        <v/>
      </c>
      <c r="L10">
        <f>L13-L12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  <c r="G11">
        <f>G10/G5</f>
        <v/>
      </c>
      <c r="H11">
        <f>H10/H5</f>
        <v/>
      </c>
      <c r="I11">
        <f>I10/I5</f>
        <v/>
      </c>
      <c r="J11">
        <f>J10/J5</f>
        <v/>
      </c>
      <c r="K11">
        <f>K10/K5</f>
        <v/>
      </c>
      <c r="L11">
        <f>L10/L5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  <c r="G12">
        <f>$F$12</f>
        <v/>
      </c>
      <c r="H12">
        <f>$F$12</f>
        <v/>
      </c>
      <c r="I12">
        <f>$F$12</f>
        <v/>
      </c>
      <c r="J12">
        <f>$F$12</f>
        <v/>
      </c>
      <c r="K12">
        <f>$F$12</f>
        <v/>
      </c>
      <c r="L12">
        <f>$F$12</f>
        <v/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  <c r="G13">
        <f>G16-G15</f>
        <v/>
      </c>
      <c r="H13">
        <f>H16-H15</f>
        <v/>
      </c>
      <c r="I13">
        <f>I16-I15</f>
        <v/>
      </c>
      <c r="J13">
        <f>J16-J15</f>
        <v/>
      </c>
      <c r="K13">
        <f>K16-K15</f>
        <v/>
      </c>
      <c r="L13">
        <f>L16-L15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  <c r="G16">
        <f>G20-G17-G18-G19</f>
        <v/>
      </c>
      <c r="H16">
        <f>H20-H17-H18-H19</f>
        <v/>
      </c>
      <c r="I16">
        <f>I20-I17-I18-I19</f>
        <v/>
      </c>
      <c r="J16">
        <f>J20-J17-J18-J19</f>
        <v/>
      </c>
      <c r="K16">
        <f>K20-K17-K18-K19</f>
        <v/>
      </c>
      <c r="L16">
        <f>L20-L17-L18-L19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  <c r="G17">
        <f>$F$17</f>
        <v/>
      </c>
      <c r="H17">
        <f>$F$17</f>
        <v/>
      </c>
      <c r="I17">
        <f>$F$17</f>
        <v/>
      </c>
      <c r="J17">
        <f>$F$17</f>
        <v/>
      </c>
      <c r="K17">
        <f>$F$17</f>
        <v/>
      </c>
      <c r="L17">
        <f>$F$17</f>
        <v/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  <c r="G18">
        <f>$F$18</f>
        <v/>
      </c>
      <c r="H18">
        <f>$F$18</f>
        <v/>
      </c>
      <c r="I18">
        <f>$F$18</f>
        <v/>
      </c>
      <c r="J18">
        <f>$F$18</f>
        <v/>
      </c>
      <c r="K18">
        <f>$F$18</f>
        <v/>
      </c>
      <c r="L18">
        <f>$F$18</f>
        <v/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  <c r="G19">
        <f>G5*Assumptions!$D$29-G18</f>
        <v/>
      </c>
      <c r="H19">
        <f>H5*Assumptions!$D$29-H18</f>
        <v/>
      </c>
      <c r="I19">
        <f>I5*Assumptions!$D$29-I18</f>
        <v/>
      </c>
      <c r="J19">
        <f>J5*Assumptions!$D$29-J18</f>
        <v/>
      </c>
      <c r="K19">
        <f>K5*Assumptions!$D$29-K18</f>
        <v/>
      </c>
      <c r="L19">
        <f>L5*Assumptions!$D$29-L18</f>
        <v/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  <c r="G20">
        <f>G5*Assumptions!$D$28</f>
        <v/>
      </c>
      <c r="H20">
        <f>H5*Assumptions!$D$28</f>
        <v/>
      </c>
      <c r="I20">
        <f>I5*Assumptions!$D$28</f>
        <v/>
      </c>
      <c r="J20">
        <f>J5*Assumptions!$D$28</f>
        <v/>
      </c>
      <c r="K20">
        <f>K5*Assumptions!$D$28</f>
        <v/>
      </c>
      <c r="L20">
        <f>L5*Assumptions!$D$28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  <c r="G23">
        <f>-G5*Assumptions!$D$30</f>
        <v/>
      </c>
      <c r="H23">
        <f>-H5*Assumptions!$D$30</f>
        <v/>
      </c>
      <c r="I23">
        <f>-I5*Assumptions!$D$30</f>
        <v/>
      </c>
      <c r="J23">
        <f>-J5*Assumptions!$D$30</f>
        <v/>
      </c>
      <c r="K23">
        <f>-K5*Assumptions!$D$30</f>
        <v/>
      </c>
      <c r="L23">
        <f>-L5*Assumptions!$D$30</f>
        <v/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  <c r="G25">
        <f>-G16*Assumptions!$D$32</f>
        <v/>
      </c>
      <c r="H25">
        <f>-H16*Assumptions!$D$32</f>
        <v/>
      </c>
      <c r="I25">
        <f>-I16*Assumptions!$D$32</f>
        <v/>
      </c>
      <c r="J25">
        <f>-J16*Assumptions!$D$32</f>
        <v/>
      </c>
      <c r="K25">
        <f>-K16*Assumptions!$D$32</f>
        <v/>
      </c>
      <c r="L25">
        <f>-L16*Assumptions!$D$32</f>
        <v/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  <c r="G26">
        <f>-G17</f>
        <v/>
      </c>
      <c r="H26">
        <f>-H17</f>
        <v/>
      </c>
      <c r="I26">
        <f>-I17</f>
        <v/>
      </c>
      <c r="J26">
        <f>-J17</f>
        <v/>
      </c>
      <c r="K26">
        <f>-K17</f>
        <v/>
      </c>
      <c r="L26">
        <f>-L17</f>
        <v/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  <c r="G27">
        <f>-G5*Assumptions!$D$31</f>
        <v/>
      </c>
      <c r="H27">
        <f>-H5*Assumptions!$D$31</f>
        <v/>
      </c>
      <c r="I27">
        <f>-I5*Assumptions!$D$31</f>
        <v/>
      </c>
      <c r="J27">
        <f>-J5*Assumptions!$D$31</f>
        <v/>
      </c>
      <c r="K27">
        <f>-K5*Assumptions!$D$31</f>
        <v/>
      </c>
      <c r="L27">
        <f>-L5*Assumptions!$D$31</f>
        <v/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  <c r="G28">
        <f>$F$28</f>
        <v/>
      </c>
      <c r="H28">
        <f>$F$28</f>
        <v/>
      </c>
      <c r="I28">
        <f>$F$28</f>
        <v/>
      </c>
      <c r="J28">
        <f>$F$28</f>
        <v/>
      </c>
      <c r="K28">
        <f>$F$28</f>
        <v/>
      </c>
      <c r="L28">
        <f>$F$28</f>
        <v/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  <c r="G31">
        <f>SUM(G20:G30)</f>
        <v/>
      </c>
      <c r="H31">
        <f>SUM(H20:H30)</f>
        <v/>
      </c>
      <c r="I31">
        <f>SUM(I20:I30)</f>
        <v/>
      </c>
      <c r="J31">
        <f>SUM(J20:J30)</f>
        <v/>
      </c>
      <c r="K31">
        <f>SUM(K20:K30)</f>
        <v/>
      </c>
      <c r="L31">
        <f>SUM(L20:L30)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  <c r="G32">
        <f>G31-G28-G24</f>
        <v/>
      </c>
      <c r="H32">
        <f>H31-H28-H24</f>
        <v/>
      </c>
      <c r="I32">
        <f>I31-I28-I24</f>
        <v/>
      </c>
      <c r="J32">
        <f>J31-J28-J24</f>
        <v/>
      </c>
      <c r="K32">
        <f>K31-K28-K24</f>
        <v/>
      </c>
      <c r="L32">
        <f>L31-L28-L24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  <c r="G34">
        <f>F35</f>
        <v/>
      </c>
      <c r="H34">
        <f>G35</f>
        <v/>
      </c>
      <c r="I34">
        <f>H35</f>
        <v/>
      </c>
      <c r="J34">
        <f>I35</f>
        <v/>
      </c>
      <c r="K34">
        <f>J35</f>
        <v/>
      </c>
      <c r="L34">
        <f>K35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  <c r="G35">
        <f>G34+G31</f>
        <v/>
      </c>
      <c r="H35">
        <f>H34+H31</f>
        <v/>
      </c>
      <c r="I35">
        <f>I34+I31</f>
        <v/>
      </c>
      <c r="J35">
        <f>J34+J31</f>
        <v/>
      </c>
      <c r="K35">
        <f>K34+K31</f>
        <v/>
      </c>
      <c r="L35">
        <f>L34+L31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  <c r="G36">
        <f>-G35/(G20-G15)</f>
        <v/>
      </c>
      <c r="H36">
        <f>-H35/(H20-H15)</f>
        <v/>
      </c>
      <c r="I36">
        <f>-I35/(I20-I15)</f>
        <v/>
      </c>
      <c r="J36">
        <f>-J35/(J20-J15)</f>
        <v/>
      </c>
      <c r="K36">
        <f>-K35/(K20-K15)</f>
        <v/>
      </c>
      <c r="L36">
        <f>-L35/(L20-L15)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>
        <f>P11*(1+Q13)</f>
        <v/>
      </c>
      <c r="R11" s="407">
        <f>Q11*(1+R13)</f>
        <v/>
      </c>
      <c r="S11" s="407">
        <f>R11*(1+S13)</f>
        <v/>
      </c>
      <c r="T11" s="407">
        <f>S11*(1+T13)</f>
        <v/>
      </c>
      <c r="U11" s="407">
        <f>T11*(1+U13)</f>
        <v/>
      </c>
      <c r="V11" s="407">
        <f>U11*(1+V13)</f>
        <v/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>
        <f>Q11</f>
        <v/>
      </c>
      <c r="R12" s="375">
        <f>R11</f>
        <v/>
      </c>
      <c r="S12" s="375">
        <f>S11</f>
        <v/>
      </c>
      <c r="T12" s="375">
        <f>T11</f>
        <v/>
      </c>
      <c r="U12" s="375">
        <f>U11</f>
        <v/>
      </c>
      <c r="V12" s="375">
        <f>V11</f>
        <v/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>
        <f>Assumptions!$D$27</f>
        <v/>
      </c>
      <c r="R13" s="415">
        <f>Assumptions!$D$27</f>
        <v/>
      </c>
      <c r="S13" s="415">
        <f>Assumptions!$D$27</f>
        <v/>
      </c>
      <c r="T13" s="415">
        <f>Assumptions!$D$27</f>
        <v/>
      </c>
      <c r="U13" s="415">
        <f>Assumptions!$D$27</f>
        <v/>
      </c>
      <c r="V13" s="414">
        <f>Assumptions!$D$27</f>
        <v/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>
        <f>Q11*Q18</f>
        <v/>
      </c>
      <c r="R15" s="407">
        <f>R11*R18</f>
        <v/>
      </c>
      <c r="S15" s="407">
        <f>S11*S18</f>
        <v/>
      </c>
      <c r="T15" s="407">
        <f>T11*T18</f>
        <v/>
      </c>
      <c r="U15" s="407">
        <f>U11*U18</f>
        <v/>
      </c>
      <c r="V15" s="407">
        <f>V11*V18</f>
        <v/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>
        <f>Q15</f>
        <v/>
      </c>
      <c r="R16" s="375">
        <f>R15</f>
        <v/>
      </c>
      <c r="S16" s="375">
        <f>S15</f>
        <v/>
      </c>
      <c r="T16" s="375">
        <f>T15</f>
        <v/>
      </c>
      <c r="U16" s="375">
        <f>U15</f>
        <v/>
      </c>
      <c r="V16" s="375">
        <f>V15</f>
        <v/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>
        <f>Assumptions!$D$28</f>
        <v/>
      </c>
      <c r="R18" s="415">
        <f>Assumptions!$D$28</f>
        <v/>
      </c>
      <c r="S18" s="415">
        <f>Assumptions!$D$28</f>
        <v/>
      </c>
      <c r="T18" s="415">
        <f>Assumptions!$D$28</f>
        <v/>
      </c>
      <c r="U18" s="415">
        <f>Assumptions!$D$28</f>
        <v/>
      </c>
      <c r="V18" s="417">
        <f>Assumptions!$D$28</f>
        <v/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>
        <f>-Q11*Assumptions!$D$29</f>
        <v/>
      </c>
      <c r="R20" s="407">
        <f>-R11*Assumptions!$D$29</f>
        <v/>
      </c>
      <c r="S20" s="407">
        <f>-S11*Assumptions!$D$29</f>
        <v/>
      </c>
      <c r="T20" s="407">
        <f>-T11*Assumptions!$D$29</f>
        <v/>
      </c>
      <c r="U20" s="407">
        <f>-U11*Assumptions!$D$29</f>
        <v/>
      </c>
      <c r="V20" s="407">
        <f>-V11*Assumptions!$D$29</f>
        <v/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>
        <f>Q15+Q20</f>
        <v/>
      </c>
      <c r="R25" s="407">
        <f>R15+R20</f>
        <v/>
      </c>
      <c r="S25" s="407">
        <f>S15+S20</f>
        <v/>
      </c>
      <c r="T25" s="407">
        <f>T15+T20</f>
        <v/>
      </c>
      <c r="U25" s="407">
        <f>U15+U20</f>
        <v/>
      </c>
      <c r="V25" s="407">
        <f>V15+V20</f>
        <v/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>
        <f>Assumptions!$D$32</f>
        <v/>
      </c>
      <c r="R29" s="415">
        <f>Assumptions!$D$32</f>
        <v/>
      </c>
      <c r="S29" s="415">
        <f>Assumptions!$D$32</f>
        <v/>
      </c>
      <c r="T29" s="415">
        <f>Assumptions!$D$32</f>
        <v/>
      </c>
      <c r="U29" s="415">
        <f>Assumptions!$D$32</f>
        <v/>
      </c>
      <c r="V29" s="415">
        <f>Assumptions!$D$32</f>
        <v/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>
        <f>Q25*(1-Q29)</f>
        <v/>
      </c>
      <c r="R31" s="371">
        <f>R25*(1-R29)</f>
        <v/>
      </c>
      <c r="S31" s="371">
        <f>S25*(1-S29)</f>
        <v/>
      </c>
      <c r="T31" s="371">
        <f>T25*(1-T29)</f>
        <v/>
      </c>
      <c r="U31" s="371">
        <f>U25*(1-U29)</f>
        <v/>
      </c>
      <c r="V31" s="371">
        <f>V25*(1-V29)</f>
        <v/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>
        <f>-Q11*Assumptions!$D$30</f>
        <v/>
      </c>
      <c r="R40" s="425">
        <f>-R11*Assumptions!$D$30</f>
        <v/>
      </c>
      <c r="S40" s="425">
        <f>-S11*Assumptions!$D$30</f>
        <v/>
      </c>
      <c r="T40" s="425">
        <f>-T11*Assumptions!$D$30</f>
        <v/>
      </c>
      <c r="U40" s="425">
        <f>-U11*Assumptions!$D$30</f>
        <v/>
      </c>
      <c r="V40" s="425">
        <f>-V11*Assumptions!$D$30</f>
        <v/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>
        <f>Assumptions!$D$30</f>
        <v/>
      </c>
      <c r="R42" s="413">
        <f>Assumptions!$D$30</f>
        <v/>
      </c>
      <c r="S42" s="413">
        <f>Assumptions!$D$30</f>
        <v/>
      </c>
      <c r="T42" s="413">
        <f>Assumptions!$D$30</f>
        <v/>
      </c>
      <c r="U42" s="413">
        <f>Assumptions!$D$30</f>
        <v/>
      </c>
      <c r="V42" s="413">
        <f>Assumptions!$D$30</f>
        <v/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>
        <f>Q47*Q11</f>
        <v/>
      </c>
      <c r="R45" s="407">
        <f>R47*R11</f>
        <v/>
      </c>
      <c r="S45" s="407">
        <f>S47*S11</f>
        <v/>
      </c>
      <c r="T45" s="407">
        <f>T47*T11</f>
        <v/>
      </c>
      <c r="U45" s="407">
        <f>U47*U11</f>
        <v/>
      </c>
      <c r="V45" s="407">
        <f>V47*V11</f>
        <v/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>
        <f>-Assumptions!$D$31</f>
        <v/>
      </c>
      <c r="R47" s="412">
        <f>-Assumptions!$D$31</f>
        <v/>
      </c>
      <c r="S47" s="412">
        <f>-Assumptions!$D$31</f>
        <v/>
      </c>
      <c r="T47" s="412">
        <f>-Assumptions!$D$31</f>
        <v/>
      </c>
      <c r="U47" s="412">
        <f>-Assumptions!$D$31</f>
        <v/>
      </c>
      <c r="V47" s="412">
        <f>-Assumptions!$D$31</f>
        <v/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>
        <f>Assumptions!$D$34</f>
        <v/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>
        <f>Assumptions!$D$35</f>
        <v/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>
        <f>Assumptions!$D$33</f>
        <v/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>
        <f>M24*(1+N25)</f>
        <v/>
      </c>
      <c r="O24" s="410">
        <f>N24*(1+O25)</f>
        <v/>
      </c>
      <c r="P24" s="410">
        <f>O24*(1+P25)</f>
        <v/>
      </c>
      <c r="Q24" s="410">
        <f>P24*(1+Q25)</f>
        <v/>
      </c>
      <c r="R24" s="410">
        <f>Q24*(1+R25)</f>
        <v/>
      </c>
      <c r="S24" s="410">
        <f>R24*(1+S25)</f>
        <v/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>
        <f>Assumptions!$D$27</f>
        <v/>
      </c>
      <c r="O25" s="454">
        <f>Assumptions!$D$27</f>
        <v/>
      </c>
      <c r="P25" s="454">
        <f>Assumptions!$D$27</f>
        <v/>
      </c>
      <c r="Q25" s="454">
        <f>Assumptions!$D$27</f>
        <v/>
      </c>
      <c r="R25" s="454">
        <f>Assumptions!$D$27</f>
        <v/>
      </c>
      <c r="S25" s="454">
        <f>Assumptions!$D$27</f>
        <v/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>
        <f>N24*N28</f>
        <v/>
      </c>
      <c r="O27" s="410">
        <f>O24*O28</f>
        <v/>
      </c>
      <c r="P27" s="410">
        <f>P24*P28</f>
        <v/>
      </c>
      <c r="Q27" s="410">
        <f>Q24*Q28</f>
        <v/>
      </c>
      <c r="R27" s="410">
        <f>R24*R28</f>
        <v/>
      </c>
      <c r="S27" s="410">
        <f>S24*S28</f>
        <v/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>
        <f>Assumptions!$D$28</f>
        <v/>
      </c>
      <c r="O28" s="454">
        <f>Assumptions!$D$28</f>
        <v/>
      </c>
      <c r="P28" s="454">
        <f>Assumptions!$D$28</f>
        <v/>
      </c>
      <c r="Q28" s="454">
        <f>Assumptions!$D$28</f>
        <v/>
      </c>
      <c r="R28" s="454">
        <f>Assumptions!$D$28</f>
        <v/>
      </c>
      <c r="S28" s="454">
        <f>Assumptions!$D$28</f>
        <v/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>
        <f>-N24*Assumptions!$D$29</f>
        <v/>
      </c>
      <c r="O31" s="410">
        <f>-O24*Assumptions!$D$29</f>
        <v/>
      </c>
      <c r="P31" s="410">
        <f>-P24*Assumptions!$D$29</f>
        <v/>
      </c>
      <c r="Q31" s="410">
        <f>-Q24*Assumptions!$D$29</f>
        <v/>
      </c>
      <c r="R31" s="410">
        <f>-R24*Assumptions!$D$29</f>
        <v/>
      </c>
      <c r="S31" s="410">
        <f>-S24*Assumptions!$D$29</f>
        <v/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>
        <f>Assumptions!$D$29</f>
        <v/>
      </c>
      <c r="O32" s="454">
        <f>Assumptions!$D$29</f>
        <v/>
      </c>
      <c r="P32" s="454">
        <f>Assumptions!$D$29</f>
        <v/>
      </c>
      <c r="Q32" s="454">
        <f>Assumptions!$D$29</f>
        <v/>
      </c>
      <c r="R32" s="454">
        <f>Assumptions!$D$29</f>
        <v/>
      </c>
      <c r="S32" s="454">
        <f>Assumptions!$D$29</f>
        <v/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/>
      <c r="O33" s="457" t="n"/>
      <c r="P33" s="457" t="n"/>
      <c r="Q33" s="457" t="n"/>
      <c r="R33" s="457" t="n"/>
      <c r="S33" s="457" t="n"/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>
        <f>N27+N31</f>
        <v/>
      </c>
      <c r="O35" s="375">
        <f>O27+O31</f>
        <v/>
      </c>
      <c r="P35" s="375">
        <f>P27+P31</f>
        <v/>
      </c>
      <c r="Q35" s="375">
        <f>Q27+Q31</f>
        <v/>
      </c>
      <c r="R35" s="375">
        <f>R27+R31</f>
        <v/>
      </c>
      <c r="S35" s="375">
        <f>S27+S31</f>
        <v/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>
        <f>N35/N24</f>
        <v/>
      </c>
      <c r="O36" s="454">
        <f>O35/O24</f>
        <v/>
      </c>
      <c r="P36" s="454">
        <f>P35/P24</f>
        <v/>
      </c>
      <c r="Q36" s="454">
        <f>Q35/Q24</f>
        <v/>
      </c>
      <c r="R36" s="454">
        <f>R35/R24</f>
        <v/>
      </c>
      <c r="S36" s="454">
        <f>S35/S24</f>
        <v/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>
        <f>-N35*N40</f>
        <v/>
      </c>
      <c r="O39" s="461">
        <f>-O35*O40</f>
        <v/>
      </c>
      <c r="P39" s="461">
        <f>-P35*P40</f>
        <v/>
      </c>
      <c r="Q39" s="461">
        <f>-Q35*Q40</f>
        <v/>
      </c>
      <c r="R39" s="461">
        <f>-R35*R40</f>
        <v/>
      </c>
      <c r="S39" s="461">
        <f>-S35*S40</f>
        <v/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>
        <f>Assumptions!$D$32</f>
        <v/>
      </c>
      <c r="O40" s="464">
        <f>Assumptions!$D$32</f>
        <v/>
      </c>
      <c r="P40" s="464">
        <f>Assumptions!$D$32</f>
        <v/>
      </c>
      <c r="Q40" s="464">
        <f>Assumptions!$D$32</f>
        <v/>
      </c>
      <c r="R40" s="464">
        <f>Assumptions!$D$32</f>
        <v/>
      </c>
      <c r="S40" s="464">
        <f>Assumptions!$D$32</f>
        <v/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>
        <f>N35+N39</f>
        <v/>
      </c>
      <c r="O42" s="461">
        <f>O35+O39</f>
        <v/>
      </c>
      <c r="P42" s="461">
        <f>P35+P39</f>
        <v/>
      </c>
      <c r="Q42" s="461">
        <f>Q35+Q39</f>
        <v/>
      </c>
      <c r="R42" s="461">
        <f>R35+R39</f>
        <v/>
      </c>
      <c r="S42" s="461">
        <f>S35+S39</f>
        <v/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>
        <f>N42/N24</f>
        <v/>
      </c>
      <c r="O43" s="454">
        <f>O42/O24</f>
        <v/>
      </c>
      <c r="P43" s="454">
        <f>P42/P24</f>
        <v/>
      </c>
      <c r="Q43" s="454">
        <f>Q42/Q24</f>
        <v/>
      </c>
      <c r="R43" s="454">
        <f>R42/R24</f>
        <v/>
      </c>
      <c r="S43" s="454">
        <f>S42/S24</f>
        <v/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>
        <f>-N31</f>
        <v/>
      </c>
      <c r="O46" s="461">
        <f>-O31</f>
        <v/>
      </c>
      <c r="P46" s="461">
        <f>-P31</f>
        <v/>
      </c>
      <c r="Q46" s="461">
        <f>-Q31</f>
        <v/>
      </c>
      <c r="R46" s="461">
        <f>-R31</f>
        <v/>
      </c>
      <c r="S46" s="461">
        <f>-S31</f>
        <v/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>
        <f>N49*N24</f>
        <v/>
      </c>
      <c r="O48" s="410">
        <f>O49*O24</f>
        <v/>
      </c>
      <c r="P48" s="410">
        <f>P49*P24</f>
        <v/>
      </c>
      <c r="Q48" s="410">
        <f>Q49*Q24</f>
        <v/>
      </c>
      <c r="R48" s="410">
        <f>R49*R24</f>
        <v/>
      </c>
      <c r="S48" s="410">
        <f>S49*S24</f>
        <v/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>
        <f>-Assumptions!$D$30</f>
        <v/>
      </c>
      <c r="O49" s="454">
        <f>-Assumptions!$D$30</f>
        <v/>
      </c>
      <c r="P49" s="454">
        <f>-Assumptions!$D$30</f>
        <v/>
      </c>
      <c r="Q49" s="454">
        <f>-Assumptions!$D$30</f>
        <v/>
      </c>
      <c r="R49" s="454">
        <f>-Assumptions!$D$30</f>
        <v/>
      </c>
      <c r="S49" s="454">
        <f>-Assumptions!$D$30</f>
        <v/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>
        <f>-N46/N48</f>
        <v/>
      </c>
      <c r="O50" s="454">
        <f>-O46/O48</f>
        <v/>
      </c>
      <c r="P50" s="454">
        <f>-P46/P48</f>
        <v/>
      </c>
      <c r="Q50" s="454">
        <f>-Q46/Q48</f>
        <v/>
      </c>
      <c r="R50" s="454">
        <f>-R46/R48</f>
        <v/>
      </c>
      <c r="S50" s="454">
        <f>-S46/S48</f>
        <v/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>
        <f>N53*N24</f>
        <v/>
      </c>
      <c r="O52" s="410">
        <f>O53*O24</f>
        <v/>
      </c>
      <c r="P52" s="410">
        <f>P53*P24</f>
        <v/>
      </c>
      <c r="Q52" s="410">
        <f>Q53*Q24</f>
        <v/>
      </c>
      <c r="R52" s="410">
        <f>R53*R24</f>
        <v/>
      </c>
      <c r="S52" s="410">
        <f>S53*S24</f>
        <v/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>
        <f>-Assumptions!$D$31</f>
        <v/>
      </c>
      <c r="O53" s="454">
        <f>-Assumptions!$D$31</f>
        <v/>
      </c>
      <c r="P53" s="454">
        <f>-Assumptions!$D$31</f>
        <v/>
      </c>
      <c r="Q53" s="454">
        <f>-Assumptions!$D$31</f>
        <v/>
      </c>
      <c r="R53" s="454">
        <f>-Assumptions!$D$31</f>
        <v/>
      </c>
      <c r="S53" s="454">
        <f>-Assumptions!$D$31</f>
        <v/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>
        <f>N42+N46+N48+N52+N55+N58</f>
        <v/>
      </c>
      <c r="O61" s="475">
        <f>O42+O46+O48+O52+O55+O58</f>
        <v/>
      </c>
      <c r="P61" s="475">
        <f>P42+P46+P48+P52+P55+P58</f>
        <v/>
      </c>
      <c r="Q61" s="475">
        <f>Q42+Q46+Q48+Q52+Q55+Q58</f>
        <v/>
      </c>
      <c r="R61" s="475">
        <f>R42+R46+R48+R52+R55+R58</f>
        <v/>
      </c>
      <c r="S61" s="475">
        <f>S42+S46+S48+S52+S55+S58</f>
        <v/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>
        <f>N63+N61</f>
        <v/>
      </c>
      <c r="O64" s="473">
        <f>O63+O61</f>
        <v/>
      </c>
      <c r="P64" s="473">
        <f>P63+P61</f>
        <v/>
      </c>
      <c r="Q64" s="473">
        <f>Q63+Q61</f>
        <v/>
      </c>
      <c r="R64" s="473">
        <f>R63+R61</f>
        <v/>
      </c>
      <c r="S64" s="473">
        <f>S63+S61</f>
        <v/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912.9387198980573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262.1672323519508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513.9832776323123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776.150509984263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2026-05-28T23:47:07Z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