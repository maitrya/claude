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6680" tabRatio="884" firstSheet="0" activeTab="1" autoFilterDateGrouping="1"/>
  </bookViews>
  <sheets>
    <sheet name="__FDSCACHE__" sheetId="1" state="veryHidden" r:id="rId1"/>
    <sheet name="Cover sheet" sheetId="2" state="visible" r:id="rId2"/>
    <sheet name="__FDS_SIDEBAR__" sheetId="3" state="veryHidden" r:id="rId3"/>
    <sheet name="Assumptions" sheetId="4" state="visible" r:id="rId4"/>
    <sheet name="Company fin forecasts" sheetId="5" state="visible" r:id="rId5"/>
    <sheet name=" Financials" sheetId="6" state="visible" r:id="rId6"/>
    <sheet name="DCF input" sheetId="7" state="visible" r:id="rId7"/>
    <sheet name="DCF output" sheetId="8" state="visible" r:id="rId8"/>
  </sheets>
  <definedNames>
    <definedName name="__FDS_HYPERLINK_TOGGLE_STATE__" hidden="1">"ON"</definedName>
    <definedName name="__FDS_UNIQUE_RANGE_ID_GENERATOR_COUNTER" hidden="1">1</definedName>
    <definedName name="_bdm.1CEE895BAA7B41D59F88EC619FDEF041.edm" hidden="1">#REF!</definedName>
    <definedName name="_bdm.228191AD795C44C3B2C1D29851BA6B5A.edm" hidden="1">#REF!</definedName>
    <definedName name="_bdm.3D14DB32183C4604A0E4D79FEAD65638.edm" hidden="1">#REF!</definedName>
    <definedName name="_bdm.41e607f308fc422b8d5a5284804a8ff7.edm" hidden="1">#REF!</definedName>
    <definedName name="_bdm.5F91EDFB28E345298D64C1B04C911BD8.edm" hidden="1">Assumptions!$1:$1048576</definedName>
    <definedName name="_bdm.609C5E0B40C34CEC83463B2CED066A56.edm" hidden="1">#REF!</definedName>
    <definedName name="_bdm.6DE9FD41CF0248559D918CB423239EC7.edm" hidden="1">#REF!</definedName>
    <definedName name="_bdm.74CEE327218B454AA9BC56D8CEA74141.edm" hidden="1">'DCF input'!$1:$1048576</definedName>
    <definedName name="_bdm.a4ac6fa1a2134a37ad560cac0499cf89.edm" hidden="1">'DCF output'!$1:$1048576</definedName>
    <definedName name="_bdm.A77C3BBF950C4F3C8195B83DEAA7CFBF.edm" hidden="1">#REF!</definedName>
    <definedName name="_bdm.B028FC28E4054953B61282121BB0749D.edm" hidden="1">#REF!</definedName>
    <definedName name="_bdm.BA7DF401FF66448AB626C492D77D0998.edm" hidden="1">#REF!</definedName>
    <definedName name="_bdm.D62A5529011B4AA59DA7E2E0D578E7E6.edm" hidden="1">#REF!</definedName>
    <definedName name="_bdm.e7e432fdd12f4d849a28c987dde91ad5.edm" hidden="1">#REF!</definedName>
    <definedName name="AVP">#REF!</definedName>
    <definedName name="BRAZIL_CASE">#REF!</definedName>
    <definedName name="circ">Assumptions!$D$7</definedName>
    <definedName name="DCF">'DCF input'!$D$22:$T$67</definedName>
    <definedName name="DCF_1">'DCF input'!$F$74:$I$77</definedName>
    <definedName name="DCF_2">'DCF input'!$E$94:$J$99</definedName>
    <definedName name="DCFoutput">'DCF output'!$C$7:$T$44</definedName>
    <definedName name="ev.Calculation">-4105</definedName>
    <definedName name="ev.Initialized">FALSE</definedName>
    <definedName name="f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fasdffsd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fdfds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fdfg">{"quarterly",#N/A,FALSE,"Income Statement";#N/A,#N/A,FALSE,"print segment";#N/A,#N/A,FALSE,"Balance Sheet";#N/A,#N/A,FALSE,"Annl Inc";#N/A,#N/A,FALSE,"Cash Flow"}</definedName>
    <definedName name="fdv">{"quarterly",#N/A,FALSE,"Income Statement";#N/A,#N/A,FALSE,"print segment";#N/A,#N/A,FALSE,"Balance Sheet";#N/A,#N/A,FALSE,"Annl Inc";#N/A,#N/A,FALSE,"Cash Flow"}</definedName>
    <definedName name="FX_CASE_1">#REF!</definedName>
    <definedName name="FX_CASE_2">#REF!</definedName>
    <definedName name="hn.ExtDb">FALSE</definedName>
    <definedName name="hn.ModelType">"DEAL"</definedName>
    <definedName name="hn.ModelVersion">1</definedName>
    <definedName name="hn.NoUpload">0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>"c6159"</definedName>
    <definedName name="IQ_ACCT_RECV_10YR_ANN_GROWTH" hidden="1">"c1924"</definedName>
    <definedName name="IQ_ACCT_RECV_1YR_ANN_GROWTH" hidden="1">"c1919"</definedName>
    <definedName name="IQ_ACCT_RECV_2YR_ANN_CAGR">"c6155"</definedName>
    <definedName name="IQ_ACCT_RECV_2YR_ANN_GROWTH" hidden="1">"c1920"</definedName>
    <definedName name="IQ_ACCT_RECV_3YR_ANN_CAGR">"c6156"</definedName>
    <definedName name="IQ_ACCT_RECV_3YR_ANN_GROWTH" hidden="1">"c1921"</definedName>
    <definedName name="IQ_ACCT_RECV_5YR_ANN_CAGR">"c6157"</definedName>
    <definedName name="IQ_ACCT_RECV_5YR_ANN_GROWTH" hidden="1">"c1922"</definedName>
    <definedName name="IQ_ACCT_RECV_7YR_ANN_CAGR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>"c6195"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>"c6035"</definedName>
    <definedName name="IQ_ALLOWANCE_10YR_ANN_GROWTH" hidden="1">"c18"</definedName>
    <definedName name="IQ_ALLOWANCE_1YR_ANN_GROWTH" hidden="1">"c19"</definedName>
    <definedName name="IQ_ALLOWANCE_2YR_ANN_CAGR">"c6036"</definedName>
    <definedName name="IQ_ALLOWANCE_2YR_ANN_GROWTH" hidden="1">"c20"</definedName>
    <definedName name="IQ_ALLOWANCE_3YR_ANN_CAGR">"c6037"</definedName>
    <definedName name="IQ_ALLOWANCE_3YR_ANN_GROWTH" hidden="1">"c21"</definedName>
    <definedName name="IQ_ALLOWANCE_5YR_ANN_CAGR">"c6038"</definedName>
    <definedName name="IQ_ALLOWANCE_5YR_ANN_GROWTH" hidden="1">"c22"</definedName>
    <definedName name="IQ_ALLOWANCE_7YR_ANN_CAGR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>"c6199"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BROKER_REC_NO_REUT">"c5315"</definedName>
    <definedName name="IQ_AVG_BROKER_REC_REUT">"c3630"</definedName>
    <definedName name="IQ_AVG_DAILY_VOL" hidden="1">"c65"</definedName>
    <definedName name="IQ_AVG_EMPLOYEES">"c6019"</definedName>
    <definedName name="IQ_AVG_INDUSTRY_REC">"c4455"</definedName>
    <definedName name="IQ_AVG_INT_BEAR_LIAB" hidden="1">"c66"</definedName>
    <definedName name="IQ_AVG_INT_BEAR_LIAB_10YR_ANN_CAGR">"c6040"</definedName>
    <definedName name="IQ_AVG_INT_BEAR_LIAB_10YR_ANN_GROWTH" hidden="1">"c67"</definedName>
    <definedName name="IQ_AVG_INT_BEAR_LIAB_1YR_ANN_GROWTH" hidden="1">"c68"</definedName>
    <definedName name="IQ_AVG_INT_BEAR_LIAB_2YR_ANN_CAGR">"c6041"</definedName>
    <definedName name="IQ_AVG_INT_BEAR_LIAB_2YR_ANN_GROWTH" hidden="1">"c69"</definedName>
    <definedName name="IQ_AVG_INT_BEAR_LIAB_3YR_ANN_CAGR">"c6042"</definedName>
    <definedName name="IQ_AVG_INT_BEAR_LIAB_3YR_ANN_GROWTH" hidden="1">"c70"</definedName>
    <definedName name="IQ_AVG_INT_BEAR_LIAB_5YR_ANN_CAGR">"c6043"</definedName>
    <definedName name="IQ_AVG_INT_BEAR_LIAB_5YR_ANN_GROWTH" hidden="1">"c71"</definedName>
    <definedName name="IQ_AVG_INT_BEAR_LIAB_7YR_ANN_CAGR">"c6044"</definedName>
    <definedName name="IQ_AVG_INT_BEAR_LIAB_7YR_ANN_GROWTH" hidden="1">"c72"</definedName>
    <definedName name="IQ_AVG_INT_EARN_ASSETS" hidden="1">"c73"</definedName>
    <definedName name="IQ_AVG_INT_EARN_ASSETS_10YR_ANN_CAGR">"c6045"</definedName>
    <definedName name="IQ_AVG_INT_EARN_ASSETS_10YR_ANN_GROWTH" hidden="1">"c74"</definedName>
    <definedName name="IQ_AVG_INT_EARN_ASSETS_1YR_ANN_GROWTH" hidden="1">"c75"</definedName>
    <definedName name="IQ_AVG_INT_EARN_ASSETS_2YR_ANN_CAGR">"c6046"</definedName>
    <definedName name="IQ_AVG_INT_EARN_ASSETS_2YR_ANN_GROWTH" hidden="1">"c76"</definedName>
    <definedName name="IQ_AVG_INT_EARN_ASSETS_3YR_ANN_CAGR">"c6047"</definedName>
    <definedName name="IQ_AVG_INT_EARN_ASSETS_3YR_ANN_GROWTH" hidden="1">"c77"</definedName>
    <definedName name="IQ_AVG_INT_EARN_ASSETS_5YR_ANN_CAGR">"c6048"</definedName>
    <definedName name="IQ_AVG_INT_EARN_ASSETS_5YR_ANN_GROWTH" hidden="1">"c78"</definedName>
    <definedName name="IQ_AVG_INT_EARN_ASSETS_7YR_ANN_CAGR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MP_EMPLOYEES">"c6020"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ROK_COMMISSION" hidden="1">"c3514"</definedName>
    <definedName name="IQ_BUILDINGS" hidden="1">"c99"</definedName>
    <definedName name="IQ_BUS_SEG_ASSETS">"c4067"</definedName>
    <definedName name="IQ_BUS_SEG_ASSETS_ABS">"c4089"</definedName>
    <definedName name="IQ_BUS_SEG_ASSETS_TOTAL">"c4112"</definedName>
    <definedName name="IQ_BUS_SEG_CAPEX">"c4079"</definedName>
    <definedName name="IQ_BUS_SEG_CAPEX_ABS">"c4101"</definedName>
    <definedName name="IQ_BUS_SEG_CAPEX_TOTAL">"c4116"</definedName>
    <definedName name="IQ_BUS_SEG_DA">"c4078"</definedName>
    <definedName name="IQ_BUS_SEG_DA_ABS">"c4100"</definedName>
    <definedName name="IQ_BUS_SEG_DA_TOTAL">"c4115"</definedName>
    <definedName name="IQ_BUS_SEG_EARNINGS_OP">"c4063"</definedName>
    <definedName name="IQ_BUS_SEG_EARNINGS_OP_ABS">"c4085"</definedName>
    <definedName name="IQ_BUS_SEG_EARNINGS_OP_TOTAL">"c4108"</definedName>
    <definedName name="IQ_BUS_SEG_EBT">"c4064"</definedName>
    <definedName name="IQ_BUS_SEG_EBT_ABS">"c4086"</definedName>
    <definedName name="IQ_BUS_SEG_EBT_TOTAL">"c4110"</definedName>
    <definedName name="IQ_BUS_SEG_GP">"c4066"</definedName>
    <definedName name="IQ_BUS_SEG_GP_ABS">"c4088"</definedName>
    <definedName name="IQ_BUS_SEG_GP_TOTAL">"c4109"</definedName>
    <definedName name="IQ_BUS_SEG_INC_TAX">"c4077"</definedName>
    <definedName name="IQ_BUS_SEG_INC_TAX_ABS">"c4099"</definedName>
    <definedName name="IQ_BUS_SEG_INC_TAX_TOTAL">"c4114"</definedName>
    <definedName name="IQ_BUS_SEG_INTEREST_EXP">"c4076"</definedName>
    <definedName name="IQ_BUS_SEG_INTEREST_EXP_ABS">"c4098"</definedName>
    <definedName name="IQ_BUS_SEG_INTEREST_EXP_TOTAL">"c4113"</definedName>
    <definedName name="IQ_BUS_SEG_NAME">"c5482"</definedName>
    <definedName name="IQ_BUS_SEG_NAME_ABS">"c5483"</definedName>
    <definedName name="IQ_BUS_SEG_NI">"c4065"</definedName>
    <definedName name="IQ_BUS_SEG_NI_ABS">"c4087"</definedName>
    <definedName name="IQ_BUS_SEG_NI_TOTAL">"c4111"</definedName>
    <definedName name="IQ_BUS_SEG_OPER_INC">"c4062"</definedName>
    <definedName name="IQ_BUS_SEG_OPER_INC_ABS">"c4084"</definedName>
    <definedName name="IQ_BUS_SEG_OPER_INC_TOTAL">"c4107"</definedName>
    <definedName name="IQ_BUS_SEG_REV">"c4068"</definedName>
    <definedName name="IQ_BUS_SEG_REV_ABS">"c4090"</definedName>
    <definedName name="IQ_BUS_SEG_REV_TOTAL">"c4106"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EX" hidden="1">"c103"</definedName>
    <definedName name="IQ_CAPEX_10YR_ANN_CAGR">"c6050"</definedName>
    <definedName name="IQ_CAPEX_10YR_ANN_GROWTH" hidden="1">"c104"</definedName>
    <definedName name="IQ_CAPEX_1YR_ANN_GROWTH" hidden="1">"c105"</definedName>
    <definedName name="IQ_CAPEX_2YR_ANN_CAGR">"c6051"</definedName>
    <definedName name="IQ_CAPEX_2YR_ANN_GROWTH" hidden="1">"c106"</definedName>
    <definedName name="IQ_CAPEX_3YR_ANN_CAGR">"c6052"</definedName>
    <definedName name="IQ_CAPEX_3YR_ANN_GROWTH" hidden="1">"c107"</definedName>
    <definedName name="IQ_CAPEX_5YR_ANN_CAGR">"c6053"</definedName>
    <definedName name="IQ_CAPEX_5YR_ANN_GROWTH" hidden="1">"c108"</definedName>
    <definedName name="IQ_CAPEX_7YR_ANN_CAGR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"c3460"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FLOW_ACT_OR_EST">"c4154"</definedName>
    <definedName name="IQ_CASH_INTEREST" hidden="1">"c120"</definedName>
    <definedName name="IQ_CASH_INVEST" hidden="1">"c121"</definedName>
    <definedName name="IQ_CASH_OPER" hidden="1">"c122"</definedName>
    <definedName name="IQ_CASH_OPER_ACT_OR_EST">"c4164"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DS_ASK">"c6027"</definedName>
    <definedName name="IQ_CDS_BID">"c6026"</definedName>
    <definedName name="IQ_CDS_CURRENCY">"c6031"</definedName>
    <definedName name="IQ_CDS_EVAL_DATE">"c6029"</definedName>
    <definedName name="IQ_CDS_MID">"c6028"</definedName>
    <definedName name="IQ_CDS_NAME">"c6034"</definedName>
    <definedName name="IQ_CDS_TERM">"c6030"</definedName>
    <definedName name="IQ_CDS_TYPE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>"c6055"</definedName>
    <definedName name="IQ_CFO_10YR_ANN_GROWTH" hidden="1">"c126"</definedName>
    <definedName name="IQ_CFO_1YR_ANN_GROWTH" hidden="1">"c127"</definedName>
    <definedName name="IQ_CFO_2YR_ANN_CAGR">"c6056"</definedName>
    <definedName name="IQ_CFO_2YR_ANN_GROWTH" hidden="1">"c128"</definedName>
    <definedName name="IQ_CFO_3YR_ANN_CAGR">"c6057"</definedName>
    <definedName name="IQ_CFO_3YR_ANN_GROWTH" hidden="1">"c129"</definedName>
    <definedName name="IQ_CFO_5YR_ANN_CAGR">"c6058"</definedName>
    <definedName name="IQ_CFO_5YR_ANN_GROWTH" hidden="1">"c130"</definedName>
    <definedName name="IQ_CFO_7YR_ANN_CAGR">"c6059"</definedName>
    <definedName name="IQ_CFO_7YR_ANN_GROWTH" hidden="1">"c131"</definedName>
    <definedName name="IQ_CFO_CURRENT_LIAB" hidden="1">"c132"</definedName>
    <definedName name="IQ_CFPS_ACT_OR_EST">"c2217"</definedName>
    <definedName name="IQ_CFPS_EST">"c1667"</definedName>
    <definedName name="IQ_CFPS_HIGH_EST">"c1669"</definedName>
    <definedName name="IQ_CFPS_LOW_EST">"c1670"</definedName>
    <definedName name="IQ_CFPS_MEDIAN_EST">"c1668"</definedName>
    <definedName name="IQ_CFPS_NUM_EST">"c1671"</definedName>
    <definedName name="IQ_CFPS_STDDEV_EST">"c1672"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>"c5809"</definedName>
    <definedName name="IQ_CLASSA_OPTIONS_EXERCISED" hidden="1">"c2681"</definedName>
    <definedName name="IQ_CLASSA_OPTIONS_GRANTED" hidden="1">"c2680"</definedName>
    <definedName name="IQ_CLASSA_OPTIONS_STRIKE_PRICE_BEG_OS">"c5810"</definedName>
    <definedName name="IQ_CLASSA_OPTIONS_STRIKE_PRICE_CANCELLED">"c5812"</definedName>
    <definedName name="IQ_CLASSA_OPTIONS_STRIKE_PRICE_EXERCISABLE">"c5813"</definedName>
    <definedName name="IQ_CLASSA_OPTIONS_STRIKE_PRICE_EXERCISED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>"c6060"</definedName>
    <definedName name="IQ_COMMON_EQUITY_10YR_ANN_GROWTH" hidden="1">"c191"</definedName>
    <definedName name="IQ_COMMON_EQUITY_1YR_ANN_GROWTH" hidden="1">"c192"</definedName>
    <definedName name="IQ_COMMON_EQUITY_2YR_ANN_CAGR">"c6061"</definedName>
    <definedName name="IQ_COMMON_EQUITY_2YR_ANN_GROWTH" hidden="1">"c193"</definedName>
    <definedName name="IQ_COMMON_EQUITY_3YR_ANN_CAGR">"c6062"</definedName>
    <definedName name="IQ_COMMON_EQUITY_3YR_ANN_GROWTH" hidden="1">"c194"</definedName>
    <definedName name="IQ_COMMON_EQUITY_5YR_ANN_CAGR">"c6063"</definedName>
    <definedName name="IQ_COMMON_EQUITY_5YR_ANN_GROWTH" hidden="1">"c195"</definedName>
    <definedName name="IQ_COMMON_EQUITY_7YR_ANN_CAGR">"c6064"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>"c6205"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>"c6283"</definedName>
    <definedName name="IQ_CURRENT_PORT_DEBT_REIT" hidden="1">"c1570"</definedName>
    <definedName name="IQ_CURRENT_PORT_DEBT_UTI" hidden="1">"c1571"</definedName>
    <definedName name="IQ_CURRENT_PORT_FHLB_DEBT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>"c6206"</definedName>
    <definedName name="IQ_DA_CF_REIT" hidden="1">"c254"</definedName>
    <definedName name="IQ_DA_CF_UTI" hidden="1">"c255"</definedName>
    <definedName name="IQ_DA_EBITDA">"c5528"</definedName>
    <definedName name="IQ_DA_FIN" hidden="1">"c256"</definedName>
    <definedName name="IQ_DA_INS" hidden="1">"c257"</definedName>
    <definedName name="IQ_DA_RE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>"c6209"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>"c6210"</definedName>
    <definedName name="IQ_DEF_CHARGES_LT_REIT" hidden="1">"c297"</definedName>
    <definedName name="IQ_DEF_CHARGES_LT_UTI" hidden="1">"c298"</definedName>
    <definedName name="IQ_DEF_CHARGES_RE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OSITS_INTEREST_SECURITIES">"c5509"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ACT_OR_EST">"c4278"</definedName>
    <definedName name="IQ_DISTRIBUTABLE_CASH_PAYOUT" hidden="1">"c3005"</definedName>
    <definedName name="IQ_DISTRIBUTABLE_CASH_SHARE" hidden="1">"c3003"</definedName>
    <definedName name="IQ_DISTRIBUTABLE_CASH_SHARE_ACT_OR_EST">"c4286"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>"c6032"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>"c6065"</definedName>
    <definedName name="IQ_DPS_10YR_ANN_GROWTH" hidden="1">"c337"</definedName>
    <definedName name="IQ_DPS_1YR_ANN_GROWTH" hidden="1">"c338"</definedName>
    <definedName name="IQ_DPS_2YR_ANN_CAGR">"c6066"</definedName>
    <definedName name="IQ_DPS_2YR_ANN_GROWTH" hidden="1">"c339"</definedName>
    <definedName name="IQ_DPS_3YR_ANN_CAGR">"c6067"</definedName>
    <definedName name="IQ_DPS_3YR_ANN_GROWTH" hidden="1">"c340"</definedName>
    <definedName name="IQ_DPS_5YR_ANN_CAGR">"c6068"</definedName>
    <definedName name="IQ_DPS_5YR_ANN_GROWTH" hidden="1">"c341"</definedName>
    <definedName name="IQ_DPS_7YR_ANN_CAGR">"c6069"</definedName>
    <definedName name="IQ_DPS_7YR_ANN_GROWTH" hidden="1">"c342"</definedName>
    <definedName name="IQ_DPS_ACT_OR_EST">"c2218"</definedName>
    <definedName name="IQ_DPS_EST">"c1674"</definedName>
    <definedName name="IQ_DPS_HIGH_EST">"c1676"</definedName>
    <definedName name="IQ_DPS_LOW_EST">"c1677"</definedName>
    <definedName name="IQ_DPS_MEDIAN_EST">"c1675"</definedName>
    <definedName name="IQ_DPS_NUM_EST">"c1678"</definedName>
    <definedName name="IQ_DPS_STDDEV_EST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CAGR">"c6070"</definedName>
    <definedName name="IQ_EARNING_CO_10YR_ANN_GROWTH" hidden="1">"c345"</definedName>
    <definedName name="IQ_EARNING_CO_1YR_ANN_GROWTH" hidden="1">"c346"</definedName>
    <definedName name="IQ_EARNING_CO_2YR_ANN_CAGR">"c6071"</definedName>
    <definedName name="IQ_EARNING_CO_2YR_ANN_GROWTH" hidden="1">"c347"</definedName>
    <definedName name="IQ_EARNING_CO_3YR_ANN_CAGR">"c6072"</definedName>
    <definedName name="IQ_EARNING_CO_3YR_ANN_GROWTH" hidden="1">"c348"</definedName>
    <definedName name="IQ_EARNING_CO_5YR_ANN_CAGR">"c6073"</definedName>
    <definedName name="IQ_EARNING_CO_5YR_ANN_GROWTH" hidden="1">"c349"</definedName>
    <definedName name="IQ_EARNING_CO_7YR_ANN_CAGR">"c6074"</definedName>
    <definedName name="IQ_EARNING_CO_7YR_ANN_GROWTH" hidden="1">"c350"</definedName>
    <definedName name="IQ_EARNING_CO_MARGIN" hidden="1">"c351"</definedName>
    <definedName name="IQ_EARNINGS_ANNOUNCE_DATE">"c1649"</definedName>
    <definedName name="IQ_EARNINGS_ANNOUNCE_DATE_REUT">"c5314"</definedName>
    <definedName name="IQ_EBIT" hidden="1">"c352"</definedName>
    <definedName name="IQ_EBIT_10YR_ANN_CAGR">"c6075"</definedName>
    <definedName name="IQ_EBIT_10YR_ANN_GROWTH" hidden="1">"c353"</definedName>
    <definedName name="IQ_EBIT_1YR_ANN_GROWTH" hidden="1">"c354"</definedName>
    <definedName name="IQ_EBIT_2YR_ANN_CAGR">"c6076"</definedName>
    <definedName name="IQ_EBIT_2YR_ANN_GROWTH" hidden="1">"c355"</definedName>
    <definedName name="IQ_EBIT_3YR_ANN_CAGR">"c6077"</definedName>
    <definedName name="IQ_EBIT_3YR_ANN_GROWTH" hidden="1">"c356"</definedName>
    <definedName name="IQ_EBIT_5YR_ANN_CAGR">"c6078"</definedName>
    <definedName name="IQ_EBIT_5YR_ANN_GROWTH" hidden="1">"c357"</definedName>
    <definedName name="IQ_EBIT_7YR_ANN_CAGR">"c6079"</definedName>
    <definedName name="IQ_EBIT_7YR_ANN_GROWTH" hidden="1">"c358"</definedName>
    <definedName name="IQ_EBIT_ACT_OR_EST">"c2219"</definedName>
    <definedName name="IQ_EBIT_EQ_INC" hidden="1">"c3498"</definedName>
    <definedName name="IQ_EBIT_EQ_INC_EXCL_SBC" hidden="1">"c3502"</definedName>
    <definedName name="IQ_EBIT_EST">"c1681"</definedName>
    <definedName name="IQ_EBIT_EXCL_SBC" hidden="1">"c3082"</definedName>
    <definedName name="IQ_EBIT_GW_ACT_OR_EST">"c4306"</definedName>
    <definedName name="IQ_EBIT_HIGH_EST">"c1683"</definedName>
    <definedName name="IQ_EBIT_INT" hidden="1">"c360"</definedName>
    <definedName name="IQ_EBIT_LOW_EST">"c1684"</definedName>
    <definedName name="IQ_EBIT_MARGIN" hidden="1">"c359"</definedName>
    <definedName name="IQ_EBIT_MEDIAN_EST">"c1682"</definedName>
    <definedName name="IQ_EBIT_NUM_EST">"c1685"</definedName>
    <definedName name="IQ_EBIT_OVER_IE" hidden="1">"c1369"</definedName>
    <definedName name="IQ_EBIT_SBC_ACT_OR_EST">"c4316"</definedName>
    <definedName name="IQ_EBIT_SBC_GW_ACT_OR_EST">"c4320"</definedName>
    <definedName name="IQ_EBIT_STDDEV_EST">"c1686"</definedName>
    <definedName name="IQ_EBITA" hidden="1">"c1910"</definedName>
    <definedName name="IQ_EBITA_10YR_ANN_CAGR">"c6184"</definedName>
    <definedName name="IQ_EBITA_10YR_ANN_GROWTH" hidden="1">"c1954"</definedName>
    <definedName name="IQ_EBITA_1YR_ANN_GROWTH" hidden="1">"c1949"</definedName>
    <definedName name="IQ_EBITA_2YR_ANN_CAGR">"c6180"</definedName>
    <definedName name="IQ_EBITA_2YR_ANN_GROWTH" hidden="1">"c1950"</definedName>
    <definedName name="IQ_EBITA_3YR_ANN_CAGR">"c6181"</definedName>
    <definedName name="IQ_EBITA_3YR_ANN_GROWTH" hidden="1">"c1951"</definedName>
    <definedName name="IQ_EBITA_5YR_ANN_CAGR">"c6182"</definedName>
    <definedName name="IQ_EBITA_5YR_ANN_GROWTH" hidden="1">"c1952"</definedName>
    <definedName name="IQ_EBITA_7YR_ANN_CAGR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>"c6080"</definedName>
    <definedName name="IQ_EBITDA_10YR_ANN_GROWTH" hidden="1">"c362"</definedName>
    <definedName name="IQ_EBITDA_1YR_ANN_GROWTH" hidden="1">"c363"</definedName>
    <definedName name="IQ_EBITDA_2YR_ANN_CAGR">"c6081"</definedName>
    <definedName name="IQ_EBITDA_2YR_ANN_GROWTH" hidden="1">"c364"</definedName>
    <definedName name="IQ_EBITDA_3YR_ANN_CAGR">"c6082"</definedName>
    <definedName name="IQ_EBITDA_3YR_ANN_GROWTH" hidden="1">"c365"</definedName>
    <definedName name="IQ_EBITDA_5YR_ANN_CAGR">"c6083"</definedName>
    <definedName name="IQ_EBITDA_5YR_ANN_GROWTH" hidden="1">"c366"</definedName>
    <definedName name="IQ_EBITDA_7YR_ANN_CAGR">"c6084"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REUT">"c3640"</definedName>
    <definedName name="IQ_EBITDA_EXCL_SBC" hidden="1">"c3081"</definedName>
    <definedName name="IQ_EBITDA_HIGH_EST" hidden="1">"c370"</definedName>
    <definedName name="IQ_EBITDA_HIGH_EST_REUT">"c3642"</definedName>
    <definedName name="IQ_EBITDA_INT" hidden="1">"c373"</definedName>
    <definedName name="IQ_EBITDA_LOW_EST" hidden="1">"c371"</definedName>
    <definedName name="IQ_EBITDA_LOW_EST_REUT">"c3643"</definedName>
    <definedName name="IQ_EBITDA_MARGIN" hidden="1">"c372"</definedName>
    <definedName name="IQ_EBITDA_MEDIAN_EST" hidden="1">"c1663"</definedName>
    <definedName name="IQ_EBITDA_MEDIAN_EST_REUT">"c3641"</definedName>
    <definedName name="IQ_EBITDA_NUM_EST" hidden="1">"c374"</definedName>
    <definedName name="IQ_EBITDA_NUM_EST_REUT">"c3644"</definedName>
    <definedName name="IQ_EBITDA_OVER_TOTAL_IE" hidden="1">"c1371"</definedName>
    <definedName name="IQ_EBITDA_SBC_ACT_OR_EST">"c4337"</definedName>
    <definedName name="IQ_EBITDA_STDDEV_EST" hidden="1">"c375"</definedName>
    <definedName name="IQ_EBITDA_STDDEV_EST_REUT">"c3645"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>"c6214"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">"c6215"</definedName>
    <definedName name="IQ_EBT_REIT" hidden="1">"c389"</definedName>
    <definedName name="IQ_EBT_SBC_ACT_OR_EST">"c4350"</definedName>
    <definedName name="IQ_EBT_SBC_GW_ACT_OR_EST">"c4354"</definedName>
    <definedName name="IQ_EBT_UTI" hidden="1">"c390"</definedName>
    <definedName name="IQ_ECS_AUTHORIZED_SHARES">"c5583"</definedName>
    <definedName name="IQ_ECS_AUTHORIZED_SHARES_ABS">"c5597"</definedName>
    <definedName name="IQ_ECS_CONVERT_FACTOR">"c5581"</definedName>
    <definedName name="IQ_ECS_CONVERT_FACTOR_ABS">"c5595"</definedName>
    <definedName name="IQ_ECS_CONVERT_INTO">"c5580"</definedName>
    <definedName name="IQ_ECS_CONVERT_INTO_ABS">"c5594"</definedName>
    <definedName name="IQ_ECS_CONVERT_TYPE">"c5579"</definedName>
    <definedName name="IQ_ECS_CONVERT_TYPE_ABS">"c5593"</definedName>
    <definedName name="IQ_ECS_INACTIVE_DATE">"c5576"</definedName>
    <definedName name="IQ_ECS_INACTIVE_DATE_ABS">"c5590"</definedName>
    <definedName name="IQ_ECS_NAME">"c5571"</definedName>
    <definedName name="IQ_ECS_NAME_ABS">"c5585"</definedName>
    <definedName name="IQ_ECS_NUM_SHAREHOLDERS">"c5584"</definedName>
    <definedName name="IQ_ECS_NUM_SHAREHOLDERS_ABS">"c5598"</definedName>
    <definedName name="IQ_ECS_PAR_VALUE">"c5577"</definedName>
    <definedName name="IQ_ECS_PAR_VALUE_ABS">"c5591"</definedName>
    <definedName name="IQ_ECS_PAR_VALUE_CURRENCY">"c5578"</definedName>
    <definedName name="IQ_ECS_PAR_VALUE_CURRENCY_ABS">"c5592"</definedName>
    <definedName name="IQ_ECS_SHARES_OUT_BS_DATE">"c5572"</definedName>
    <definedName name="IQ_ECS_SHARES_OUT_BS_DATE_ABS">"c5586"</definedName>
    <definedName name="IQ_ECS_SHARES_OUT_FILING_DATE">"c5573"</definedName>
    <definedName name="IQ_ECS_SHARES_OUT_FILING_DATE_ABS">"c5587"</definedName>
    <definedName name="IQ_ECS_START_DATE">"c5575"</definedName>
    <definedName name="IQ_ECS_START_DATE_ABS">"c5589"</definedName>
    <definedName name="IQ_ECS_TYPE">"c5574"</definedName>
    <definedName name="IQ_ECS_TYPE_ABS">"c5588"</definedName>
    <definedName name="IQ_ECS_VOTING">"c5582"</definedName>
    <definedName name="IQ_ECS_VOTING_ABS">"c5596"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CAGR">"c6085"</definedName>
    <definedName name="IQ_EPS_10YR_ANN_GROWTH" hidden="1">"c393"</definedName>
    <definedName name="IQ_EPS_1YR_ANN_GROWTH" hidden="1">"c394"</definedName>
    <definedName name="IQ_EPS_2YR_ANN_CAGR">"c6086"</definedName>
    <definedName name="IQ_EPS_2YR_ANN_GROWTH" hidden="1">"c395"</definedName>
    <definedName name="IQ_EPS_3YR_ANN_CAGR">"c6087"</definedName>
    <definedName name="IQ_EPS_3YR_ANN_GROWTH" hidden="1">"c396"</definedName>
    <definedName name="IQ_EPS_5YR_ANN_CAGR">"c6088"</definedName>
    <definedName name="IQ_EPS_5YR_ANN_GROWTH" hidden="1">"c397"</definedName>
    <definedName name="IQ_EPS_7YR_ANN_CAGR">"c6089"</definedName>
    <definedName name="IQ_EPS_7YR_ANN_GROWTH" hidden="1">"c398"</definedName>
    <definedName name="IQ_EPS_ACT_OR_EST">"c2213"</definedName>
    <definedName name="IQ_EPS_EST" hidden="1">"c399"</definedName>
    <definedName name="IQ_EPS_EST_REUT">"c5453"</definedName>
    <definedName name="IQ_EPS_GW_ACT_OR_EST">"c2223"</definedName>
    <definedName name="IQ_EPS_GW_EST">"c1737"</definedName>
    <definedName name="IQ_EPS_GW_EST_REUT">"c5389"</definedName>
    <definedName name="IQ_EPS_GW_HIGH_EST">"c1739"</definedName>
    <definedName name="IQ_EPS_GW_HIGH_EST_REUT">"c5391"</definedName>
    <definedName name="IQ_EPS_GW_LOW_EST">"c1740"</definedName>
    <definedName name="IQ_EPS_GW_LOW_EST_REUT">"c5392"</definedName>
    <definedName name="IQ_EPS_GW_MEDIAN_EST">"c1738"</definedName>
    <definedName name="IQ_EPS_GW_MEDIAN_EST_REUT">"c5390"</definedName>
    <definedName name="IQ_EPS_GW_NUM_EST">"c1741"</definedName>
    <definedName name="IQ_EPS_GW_NUM_EST_REUT">"c5393"</definedName>
    <definedName name="IQ_EPS_GW_STDDEV_EST">"c1742"</definedName>
    <definedName name="IQ_EPS_GW_STDDEV_EST_REUT">"c5394"</definedName>
    <definedName name="IQ_EPS_HIGH_EST" hidden="1">"c400"</definedName>
    <definedName name="IQ_EPS_HIGH_EST_REUT">"c5454"</definedName>
    <definedName name="IQ_EPS_LOW_EST" hidden="1">"c401"</definedName>
    <definedName name="IQ_EPS_LOW_EST_REUT">"c5455"</definedName>
    <definedName name="IQ_EPS_MEDIAN_EST" hidden="1">"c1661"</definedName>
    <definedName name="IQ_EPS_MEDIAN_EST_REUT">"c5456"</definedName>
    <definedName name="IQ_EPS_NORM" hidden="1">"c1902"</definedName>
    <definedName name="IQ_EPS_NORM_EST">"c2226"</definedName>
    <definedName name="IQ_EPS_NORM_EST_REUT">"c5326"</definedName>
    <definedName name="IQ_EPS_NORM_HIGH_EST">"c2228"</definedName>
    <definedName name="IQ_EPS_NORM_HIGH_EST_REUT">"c5328"</definedName>
    <definedName name="IQ_EPS_NORM_LOW_EST">"c2229"</definedName>
    <definedName name="IQ_EPS_NORM_LOW_EST_REUT">"c5329"</definedName>
    <definedName name="IQ_EPS_NORM_MEDIAN_EST">"c2227"</definedName>
    <definedName name="IQ_EPS_NORM_MEDIAN_EST_REUT">"c5327"</definedName>
    <definedName name="IQ_EPS_NORM_NUM_EST">"c2230"</definedName>
    <definedName name="IQ_EPS_NORM_NUM_EST_REUT">"c5330"</definedName>
    <definedName name="IQ_EPS_NORM_STDDEV_EST">"c2231"</definedName>
    <definedName name="IQ_EPS_NORM_STDDEV_EST_REUT">"c5331"</definedName>
    <definedName name="IQ_EPS_NUM_EST" hidden="1">"c402"</definedName>
    <definedName name="IQ_EPS_NUM_EST_REUT">"c5451"</definedName>
    <definedName name="IQ_EPS_REPORT_ACT_OR_EST">"c2224"</definedName>
    <definedName name="IQ_EPS_REPORTED_EST">"c1744"</definedName>
    <definedName name="IQ_EPS_REPORTED_EST_REUT">"c5396"</definedName>
    <definedName name="IQ_EPS_REPORTED_HIGH_EST">"c1746"</definedName>
    <definedName name="IQ_EPS_REPORTED_HIGH_EST_REUT">"c5398"</definedName>
    <definedName name="IQ_EPS_REPORTED_LOW_EST">"c1747"</definedName>
    <definedName name="IQ_EPS_REPORTED_LOW_EST_REUT">"c5399"</definedName>
    <definedName name="IQ_EPS_REPORTED_MEDIAN_EST">"c1745"</definedName>
    <definedName name="IQ_EPS_REPORTED_MEDIAN_EST_REUT">"c5397"</definedName>
    <definedName name="IQ_EPS_REPORTED_NUM_EST">"c1748"</definedName>
    <definedName name="IQ_EPS_REPORTED_NUM_EST_REUT">"c5400"</definedName>
    <definedName name="IQ_EPS_REPORTED_STDDEV_EST">"c1749"</definedName>
    <definedName name="IQ_EPS_REPORTED_STDDEV_EST_REUT">"c5401"</definedName>
    <definedName name="IQ_EPS_SBC_ACT_OR_EST">"c4376"</definedName>
    <definedName name="IQ_EPS_SBC_GW_ACT_OR_EST">"c4380"</definedName>
    <definedName name="IQ_EPS_STDDEV_EST" hidden="1">"c403"</definedName>
    <definedName name="IQ_EPS_STDDEV_EST_REUT">"c5452"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CFPS">"c1673"</definedName>
    <definedName name="IQ_EST_ACT_DPS">"c1680"</definedName>
    <definedName name="IQ_EST_ACT_EBIT">"c1687"</definedName>
    <definedName name="IQ_EST_ACT_EBITDA">"c1664"</definedName>
    <definedName name="IQ_EST_ACT_EPS">"c1648"</definedName>
    <definedName name="IQ_EST_ACT_EPS_GW">"c1743"</definedName>
    <definedName name="IQ_EST_ACT_EPS_GW_REUT">"c5395"</definedName>
    <definedName name="IQ_EST_ACT_EPS_NORM">"c2232"</definedName>
    <definedName name="IQ_EST_ACT_EPS_NORM_REUT">"c5332"</definedName>
    <definedName name="IQ_EST_ACT_EPS_REPORTED">"c1750"</definedName>
    <definedName name="IQ_EST_ACT_EPS_REPORTED_REUT">"c5402"</definedName>
    <definedName name="IQ_EST_ACT_FFO">"c1666"</definedName>
    <definedName name="IQ_EST_ACT_NAV">"c1757"</definedName>
    <definedName name="IQ_EST_ACT_NI">"c1722"</definedName>
    <definedName name="IQ_EST_ACT_NI_GW">"c1729"</definedName>
    <definedName name="IQ_EST_ACT_NI_REPORTED">"c1736"</definedName>
    <definedName name="IQ_EST_ACT_OPER_INC">"c1694"</definedName>
    <definedName name="IQ_EST_ACT_PRETAX_GW_INC">"c1708"</definedName>
    <definedName name="IQ_EST_ACT_PRETAX_INC">"c1701"</definedName>
    <definedName name="IQ_EST_ACT_PRETAX_REPORT_INC">"c1715"</definedName>
    <definedName name="IQ_EST_ACT_REV">"c2113"</definedName>
    <definedName name="IQ_EST_CFPS_DIFF">"c1871"</definedName>
    <definedName name="IQ_EST_CFPS_GROWTH_1YR">"c1774"</definedName>
    <definedName name="IQ_EST_CFPS_GROWTH_2YR">"c1775"</definedName>
    <definedName name="IQ_EST_CFPS_GROWTH_Q_1YR">"c1776"</definedName>
    <definedName name="IQ_EST_CFPS_SEQ_GROWTH_Q">"c1777"</definedName>
    <definedName name="IQ_EST_CFPS_SURPRISE_PERCENT">"c1872"</definedName>
    <definedName name="IQ_EST_CURRENCY" hidden="1">"c2140"</definedName>
    <definedName name="IQ_EST_CURRENCY_REUT">"c5437"</definedName>
    <definedName name="IQ_EST_DATE" hidden="1">"c1634"</definedName>
    <definedName name="IQ_EST_DATE_REUT">"c5438"</definedName>
    <definedName name="IQ_EST_DPS_DIFF">"c1873"</definedName>
    <definedName name="IQ_EST_DPS_GROWTH_1YR">"c1778"</definedName>
    <definedName name="IQ_EST_DPS_GROWTH_2YR">"c1779"</definedName>
    <definedName name="IQ_EST_DPS_GROWTH_Q_1YR">"c1780"</definedName>
    <definedName name="IQ_EST_DPS_SEQ_GROWTH_Q">"c1781"</definedName>
    <definedName name="IQ_EST_DPS_SURPRISE_PERCENT">"c1874"</definedName>
    <definedName name="IQ_EST_EBIT_DIFF">"c1875"</definedName>
    <definedName name="IQ_EST_EBIT_SURPRISE_PERCENT">"c1876"</definedName>
    <definedName name="IQ_EST_EBITDA_DIFF">"c1867"</definedName>
    <definedName name="IQ_EST_EBITDA_GROWTH_1YR">"c1766"</definedName>
    <definedName name="IQ_EST_EBITDA_GROWTH_2YR">"c1767"</definedName>
    <definedName name="IQ_EST_EBITDA_GROWTH_Q_1YR">"c1768"</definedName>
    <definedName name="IQ_EST_EBITDA_SEQ_GROWTH_Q">"c1769"</definedName>
    <definedName name="IQ_EST_EBITDA_SURPRISE_PERCENT">"c1868"</definedName>
    <definedName name="IQ_EST_EPS_DIFF">"c1864"</definedName>
    <definedName name="IQ_EST_EPS_GROWTH_1YR" hidden="1">"c1636"</definedName>
    <definedName name="IQ_EST_EPS_GROWTH_1YR_REUT">"c3646"</definedName>
    <definedName name="IQ_EST_EPS_GROWTH_2YR">"c1637"</definedName>
    <definedName name="IQ_EST_EPS_GROWTH_5YR" hidden="1">"c1655"</definedName>
    <definedName name="IQ_EST_EPS_GROWTH_5YR_HIGH">"c1657"</definedName>
    <definedName name="IQ_EST_EPS_GROWTH_5YR_LOW">"c1658"</definedName>
    <definedName name="IQ_EST_EPS_GROWTH_5YR_MEDIAN">"c1656"</definedName>
    <definedName name="IQ_EST_EPS_GROWTH_5YR_NUM">"c1659"</definedName>
    <definedName name="IQ_EST_EPS_GROWTH_5YR_REUT">"c3633"</definedName>
    <definedName name="IQ_EST_EPS_GROWTH_5YR_STDDEV">"c1660"</definedName>
    <definedName name="IQ_EST_EPS_GROWTH_Q_1YR" hidden="1">"c1641"</definedName>
    <definedName name="IQ_EST_EPS_GROWTH_Q_1YR_REUT">"c5410"</definedName>
    <definedName name="IQ_EST_EPS_GW_DIFF">"c1891"</definedName>
    <definedName name="IQ_EST_EPS_GW_DIFF_REUT">"c5429"</definedName>
    <definedName name="IQ_EST_EPS_GW_SURPRISE_PERCENT">"c1892"</definedName>
    <definedName name="IQ_EST_EPS_GW_SURPRISE_PERCENT_REUT">"c5430"</definedName>
    <definedName name="IQ_EST_EPS_NORM_DIFF">"c2247"</definedName>
    <definedName name="IQ_EST_EPS_NORM_DIFF_REUT">"c5411"</definedName>
    <definedName name="IQ_EST_EPS_NORM_SURPRISE_PERCENT">"c2248"</definedName>
    <definedName name="IQ_EST_EPS_NORM_SURPRISE_PERCENT_REUT">"c5412"</definedName>
    <definedName name="IQ_EST_EPS_REPORT_DIFF">"c1893"</definedName>
    <definedName name="IQ_EST_EPS_REPORT_DIFF_REUT">"c5431"</definedName>
    <definedName name="IQ_EST_EPS_REPORT_SURPRISE_PERCENT">"c1894"</definedName>
    <definedName name="IQ_EST_EPS_REPORT_SURPRISE_PERCENT_REUT">"c5432"</definedName>
    <definedName name="IQ_EST_EPS_SEQ_GROWTH_Q">"c1764"</definedName>
    <definedName name="IQ_EST_EPS_SURPRISE_PERCENT">"c1635"</definedName>
    <definedName name="IQ_EST_FFO_DIFF">"c1869"</definedName>
    <definedName name="IQ_EST_FFO_GROWTH_1YR">"c1770"</definedName>
    <definedName name="IQ_EST_FFO_GROWTH_2YR">"c1771"</definedName>
    <definedName name="IQ_EST_FFO_GROWTH_Q_1YR">"c1772"</definedName>
    <definedName name="IQ_EST_FFO_SEQ_GROWTH_Q">"c1773"</definedName>
    <definedName name="IQ_EST_FFO_SURPRISE_PERCENT">"c1870"</definedName>
    <definedName name="IQ_EST_NAV_DIFF">"c1895"</definedName>
    <definedName name="IQ_EST_NAV_SURPRISE_PERCENT">"c1896"</definedName>
    <definedName name="IQ_EST_NI_DIFF">"c1885"</definedName>
    <definedName name="IQ_EST_NI_GW_DIFF">"c1887"</definedName>
    <definedName name="IQ_EST_NI_GW_SURPRISE_PERCENT">"c1888"</definedName>
    <definedName name="IQ_EST_NI_REPORT_DIFF">"c1889"</definedName>
    <definedName name="IQ_EST_NI_REPORT_SURPRISE_PERCENT">"c1890"</definedName>
    <definedName name="IQ_EST_NI_SURPRISE_PERCENT">"c1886"</definedName>
    <definedName name="IQ_EST_NUM_BUY">"c1759"</definedName>
    <definedName name="IQ_EST_NUM_HOLD">"c1761"</definedName>
    <definedName name="IQ_EST_NUM_NO_OPINION">"c1758"</definedName>
    <definedName name="IQ_EST_NUM_OUTPERFORM">"c1760"</definedName>
    <definedName name="IQ_EST_NUM_SELL">"c1763"</definedName>
    <definedName name="IQ_EST_NUM_UNDERPERFORM">"c1762"</definedName>
    <definedName name="IQ_EST_OPER_INC_DIFF">"c1877"</definedName>
    <definedName name="IQ_EST_OPER_INC_SURPRISE_PERCENT">"c1878"</definedName>
    <definedName name="IQ_EST_PRE_TAX_DIFF">"c1879"</definedName>
    <definedName name="IQ_EST_PRE_TAX_GW_DIFF">"c1881"</definedName>
    <definedName name="IQ_EST_PRE_TAX_GW_SURPRISE_PERCENT">"c1882"</definedName>
    <definedName name="IQ_EST_PRE_TAX_REPORT_DIFF">"c1883"</definedName>
    <definedName name="IQ_EST_PRE_TAX_REPORT_SURPRISE_PERCENT">"c1884"</definedName>
    <definedName name="IQ_EST_PRE_TAX_SURPRISE_PERCENT">"c1880"</definedName>
    <definedName name="IQ_EST_REV_DIFF">"c1865"</definedName>
    <definedName name="IQ_EST_REV_GROWTH_1YR">"c1638"</definedName>
    <definedName name="IQ_EST_REV_GROWTH_2YR">"c1639"</definedName>
    <definedName name="IQ_EST_REV_GROWTH_Q_1YR">"c1640"</definedName>
    <definedName name="IQ_EST_REV_SEQ_GROWTH_Q">"c1765"</definedName>
    <definedName name="IQ_EST_REV_SURPRISE_PERCENT">"c1866"</definedName>
    <definedName name="IQ_EST_VENDOR">"c5564"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CISE_TAXES_EXCL_SALES">"c5515"</definedName>
    <definedName name="IQ_EXCISE_TAXES_INCL_SALES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FO_ACT_OR_EST">"c2216"</definedName>
    <definedName name="IQ_FFO_ADJ_ACT_OR_EST">"c4435"</definedName>
    <definedName name="IQ_FFO_EST">"c418"</definedName>
    <definedName name="IQ_FFO_HIGH_EST">"c419"</definedName>
    <definedName name="IQ_FFO_LOW_EST">"c420"</definedName>
    <definedName name="IQ_FFO_MEDIAN_EST">"c1665"</definedName>
    <definedName name="IQ_FFO_NUM_EST">"c421"</definedName>
    <definedName name="IQ_FFO_PAYOUT_RATIO" hidden="1">"c3492"</definedName>
    <definedName name="IQ_FFO_SHARE_ACT_OR_EST">"c4446"</definedName>
    <definedName name="IQ_FFO_STDDEV_EST">"c422"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CURRENT_PORT_DEBT_TOTAL">"c5524"</definedName>
    <definedName name="IQ_FIN_DIV_CURRENT_PORT_LEASES_TOTAL">"c5523"</definedName>
    <definedName name="IQ_FIN_DIV_DEBT_CURRENT" hidden="1">"c429"</definedName>
    <definedName name="IQ_FIN_DIV_DEBT_LT" hidden="1">"c430"</definedName>
    <definedName name="IQ_FIN_DIV_DEBT_LT_TOTAL">"c5526"</definedName>
    <definedName name="IQ_FIN_DIV_DEBT_TOTAL">"c5656"</definedName>
    <definedName name="IQ_FIN_DIV_EXP" hidden="1">"c431"</definedName>
    <definedName name="IQ_FIN_DIV_INT_EXP" hidden="1">"c432"</definedName>
    <definedName name="IQ_FIN_DIV_LEASES_LT_TOTAL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>"c5655"</definedName>
    <definedName name="IQ_FIN_DIV_NOTES_PAY_TOTAL">"c5522"</definedName>
    <definedName name="IQ_FIN_DIV_REV" hidden="1">"c437"</definedName>
    <definedName name="IQ_FIN_DIV_ST_DEBT_TOTAL">"c5527"</definedName>
    <definedName name="IQ_FINANCING_CASH" hidden="1">"c1405"</definedName>
    <definedName name="IQ_FINANCING_CASH_SUPPL" hidden="1">"c1406"</definedName>
    <definedName name="IQ_FINANCING_OBLIG_CURRENT">"c6190"</definedName>
    <definedName name="IQ_FINANCING_OBLIG_NON_CURRENT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AP_IS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EO_SEG_ASSETS">"c4069"</definedName>
    <definedName name="IQ_GEO_SEG_ASSETS_ABS">"c4091"</definedName>
    <definedName name="IQ_GEO_SEG_ASSETS_TOTAL">"c4123"</definedName>
    <definedName name="IQ_GEO_SEG_CAPEX">"c4083"</definedName>
    <definedName name="IQ_GEO_SEG_CAPEX_ABS">"c4105"</definedName>
    <definedName name="IQ_GEO_SEG_CAPEX_TOTAL">"c4127"</definedName>
    <definedName name="IQ_GEO_SEG_DA">"c4082"</definedName>
    <definedName name="IQ_GEO_SEG_DA_ABS">"c4104"</definedName>
    <definedName name="IQ_GEO_SEG_DA_TOTAL">"c4126"</definedName>
    <definedName name="IQ_GEO_SEG_EARNINGS_OP">"c4073"</definedName>
    <definedName name="IQ_GEO_SEG_EARNINGS_OP_ABS">"c4095"</definedName>
    <definedName name="IQ_GEO_SEG_EARNINGS_OP_TOTAL">"c4119"</definedName>
    <definedName name="IQ_GEO_SEG_EBT">"c4072"</definedName>
    <definedName name="IQ_GEO_SEG_EBT_ABS">"c4094"</definedName>
    <definedName name="IQ_GEO_SEG_EBT_TOTAL">"c4121"</definedName>
    <definedName name="IQ_GEO_SEG_GP">"c4070"</definedName>
    <definedName name="IQ_GEO_SEG_GP_ABS">"c4092"</definedName>
    <definedName name="IQ_GEO_SEG_GP_TOTAL">"c4120"</definedName>
    <definedName name="IQ_GEO_SEG_INC_TAX">"c4081"</definedName>
    <definedName name="IQ_GEO_SEG_INC_TAX_ABS">"c4103"</definedName>
    <definedName name="IQ_GEO_SEG_INC_TAX_TOTAL">"c4125"</definedName>
    <definedName name="IQ_GEO_SEG_INTEREST_EXP">"c4080"</definedName>
    <definedName name="IQ_GEO_SEG_INTEREST_EXP_ABS">"c4102"</definedName>
    <definedName name="IQ_GEO_SEG_INTEREST_EXP_TOTAL">"c4124"</definedName>
    <definedName name="IQ_GEO_SEG_NAME">"c5484"</definedName>
    <definedName name="IQ_GEO_SEG_NAME_ABS">"c5485"</definedName>
    <definedName name="IQ_GEO_SEG_NI">"c4071"</definedName>
    <definedName name="IQ_GEO_SEG_NI_ABS">"c4093"</definedName>
    <definedName name="IQ_GEO_SEG_NI_TOTAL">"c4122"</definedName>
    <definedName name="IQ_GEO_SEG_OPER_INC">"c4075"</definedName>
    <definedName name="IQ_GEO_SEG_OPER_INC_ABS">"c4097"</definedName>
    <definedName name="IQ_GEO_SEG_OPER_INC_TOTAL">"c4118"</definedName>
    <definedName name="IQ_GEO_SEG_REV">"c4074"</definedName>
    <definedName name="IQ_GEO_SEG_REV_ABS">"c4096"</definedName>
    <definedName name="IQ_GEO_SEG_REV_TOTAL">"c4117"</definedName>
    <definedName name="IQ_GOODWILL_NET" hidden="1">"c1380"</definedName>
    <definedName name="IQ_GP" hidden="1">"c511"</definedName>
    <definedName name="IQ_GP_10YR_ANN_CAGR">"c6090"</definedName>
    <definedName name="IQ_GP_10YR_ANN_GROWTH" hidden="1">"c512"</definedName>
    <definedName name="IQ_GP_1YR_ANN_GROWTH" hidden="1">"c513"</definedName>
    <definedName name="IQ_GP_2YR_ANN_CAGR">"c6091"</definedName>
    <definedName name="IQ_GP_2YR_ANN_GROWTH" hidden="1">"c514"</definedName>
    <definedName name="IQ_GP_3YR_ANN_CAGR">"c6092"</definedName>
    <definedName name="IQ_GP_3YR_ANN_GROWTH" hidden="1">"c515"</definedName>
    <definedName name="IQ_GP_5YR_ANN_CAGR">"c6093"</definedName>
    <definedName name="IQ_GP_5YR_ANN_GROWTH" hidden="1">"c516"</definedName>
    <definedName name="IQ_GP_7YR_ANN_CAGR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>"c6095"</definedName>
    <definedName name="IQ_GROSS_LOANS_10YR_ANN_GROWTH" hidden="1">"c522"</definedName>
    <definedName name="IQ_GROSS_LOANS_1YR_ANN_GROWTH" hidden="1">"c523"</definedName>
    <definedName name="IQ_GROSS_LOANS_2YR_ANN_CAGR">"c6096"</definedName>
    <definedName name="IQ_GROSS_LOANS_2YR_ANN_GROWTH" hidden="1">"c524"</definedName>
    <definedName name="IQ_GROSS_LOANS_3YR_ANN_CAGR">"c6097"</definedName>
    <definedName name="IQ_GROSS_LOANS_3YR_ANN_GROWTH" hidden="1">"c525"</definedName>
    <definedName name="IQ_GROSS_LOANS_5YR_ANN_CAGR">"c6098"</definedName>
    <definedName name="IQ_GROSS_LOANS_5YR_ANN_GROWTH" hidden="1">"c526"</definedName>
    <definedName name="IQ_GROSS_LOANS_7YR_ANN_CAGR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>"c6280"</definedName>
    <definedName name="IQ_GW_INTAN_AMORT_REIT" hidden="1">"c1480"</definedName>
    <definedName name="IQ_GW_INTAN_AMORT_UTI" hidden="1">"c1481"</definedName>
    <definedName name="IQ_HC_ADMISSIONS">"c5953"</definedName>
    <definedName name="IQ_HC_ADMISSIONS_GROWTH">"c5997"</definedName>
    <definedName name="IQ_HC_ADMISSIONS_MANAGED_CARE">"c5956"</definedName>
    <definedName name="IQ_HC_ADMISSIONS_MEDICAID">"c5955"</definedName>
    <definedName name="IQ_HC_ADMISSIONS_MEDICARE">"c5954"</definedName>
    <definedName name="IQ_HC_ADMISSIONS_OTHER">"c5957"</definedName>
    <definedName name="IQ_HC_ADMISSIONS_SF">"c6006"</definedName>
    <definedName name="IQ_HC_ALFS">"c5952"</definedName>
    <definedName name="IQ_HC_AVG_BEDS_SVC">"c5951"</definedName>
    <definedName name="IQ_HC_AVG_DAILY_CENSUS">"c5965"</definedName>
    <definedName name="IQ_HC_AVG_LICENSED_BEDS">"c5949"</definedName>
    <definedName name="IQ_HC_AVG_LICENSED_BEDS_SF">"c6004"</definedName>
    <definedName name="IQ_HC_AVG_STAY">"c5966"</definedName>
    <definedName name="IQ_HC_AVG_STAY_SF">"c6016"</definedName>
    <definedName name="IQ_HC_BEDS_SVC">"c5950"</definedName>
    <definedName name="IQ_HC_DAYS_REV_OUT">"c5993"</definedName>
    <definedName name="IQ_HC_EQUIV_ADMISSIONS_GROWTH">"c5998"</definedName>
    <definedName name="IQ_HC_EQUIVALENT_ADMISSIONS">"c5958"</definedName>
    <definedName name="IQ_HC_EQUIVALENT_ADMISSIONS_SF">"c6007"</definedName>
    <definedName name="IQ_HC_ER_VISITS">"c5964"</definedName>
    <definedName name="IQ_HC_ER_VISITS_SF">"c6017"</definedName>
    <definedName name="IQ_HC_GROSS_INPATIENT_REV">"c5987"</definedName>
    <definedName name="IQ_HC_GROSS_OUTPATIENT_REV">"c5988"</definedName>
    <definedName name="IQ_HC_GROSS_PATIENT_REV">"c5989"</definedName>
    <definedName name="IQ_HC_HOSP_FACILITIES_CONSOL">"c5945"</definedName>
    <definedName name="IQ_HC_HOSP_FACILITIES_CONSOL_SF">"c6000"</definedName>
    <definedName name="IQ_HC_HOSP_FACILITIES_NON_CONSOL">"c5946"</definedName>
    <definedName name="IQ_HC_HOSP_FACILITIES_NON_CONSOL_SF">"c6001"</definedName>
    <definedName name="IQ_HC_HOSP_FACILITIES_TOTAL">"c5947"</definedName>
    <definedName name="IQ_HC_HOSP_FACILITIES_TOTAL_SF">"c6002"</definedName>
    <definedName name="IQ_HC_INPATIENT_PROCEDURES">"c5961"</definedName>
    <definedName name="IQ_HC_INPATIENT_PROCEDURES_SF">"c6011"</definedName>
    <definedName name="IQ_HC_INPATIENT_REV_PER_ADMISSION">"c5994"</definedName>
    <definedName name="IQ_HC_INTPATIENT_SVCS_PCT_REV">"c5975"</definedName>
    <definedName name="IQ_HC_INTPATIENT_SVCS_PCT_REV_SF">"c6015"</definedName>
    <definedName name="IQ_HC_LICENSED_BEDS">"c5948"</definedName>
    <definedName name="IQ_HC_LICENSED_BEDS_SF">"c6003"</definedName>
    <definedName name="IQ_HC_MANAGED_CARE_PCT_ADMISSIONS">"c5982"</definedName>
    <definedName name="IQ_HC_MANAGED_CARE_PCT_REV">"c5978"</definedName>
    <definedName name="IQ_HC_MEDICAID_PCT_ADMISSIONS">"c5981"</definedName>
    <definedName name="IQ_HC_MEDICAID_PCT_REV">"c5977"</definedName>
    <definedName name="IQ_HC_MEDICARE_PCT_ADMISSIONS">"c5980"</definedName>
    <definedName name="IQ_HC_MEDICARE_PCT_REV">"c5976"</definedName>
    <definedName name="IQ_HC_NET_INPATIENT_REV">"c5984"</definedName>
    <definedName name="IQ_HC_NET_OUTPATIENT_REV">"c5985"</definedName>
    <definedName name="IQ_HC_NET_PATIENT_REV">"c5986"</definedName>
    <definedName name="IQ_HC_NET_PATIENT_REV_SF">"c6005"</definedName>
    <definedName name="IQ_HC_OCC_RATE">"c5967"</definedName>
    <definedName name="IQ_HC_OCC_RATE_LICENSED_BEDS">"c5968"</definedName>
    <definedName name="IQ_HC_OCC_RATE_SF">"c6009"</definedName>
    <definedName name="IQ_HC_OPEX_SUPPLIES">"c5990"</definedName>
    <definedName name="IQ_HC_OTHER_OPEX_PCT_REV">"c5973"</definedName>
    <definedName name="IQ_HC_OUTPATIENT_PROCEDURES">"c5962"</definedName>
    <definedName name="IQ_HC_OUTPATIENT_PROCEDURES_SF">"c6012"</definedName>
    <definedName name="IQ_HC_OUTPATIENT_REV_PER_ADMISSION">"c5995"</definedName>
    <definedName name="IQ_HC_OUTPATIENT_SVCS_PCT_REV">"c5974"</definedName>
    <definedName name="IQ_HC_OUTPATIENT_SVCS_PCT_REV_SF">"c6014"</definedName>
    <definedName name="IQ_HC_PATIENT_DAYS">"c5960"</definedName>
    <definedName name="IQ_HC_PATIENT_DAYS_SF">"c6010"</definedName>
    <definedName name="IQ_HC_PROF_GEN_LIAB_CLAIM_PAID">"c5991"</definedName>
    <definedName name="IQ_HC_PROF_GEN_LIAB_EXP_BENEFIT">"c5992"</definedName>
    <definedName name="IQ_HC_PROVISION_DOUBTFUL_PCT_REV">"c5972"</definedName>
    <definedName name="IQ_HC_REV_GROWTH">"c5996"</definedName>
    <definedName name="IQ_HC_REV_PER_EQUIV_ADMISSION">"c5959"</definedName>
    <definedName name="IQ_HC_REV_PER_EQUIV_ADMISSION_SF">"c6008"</definedName>
    <definedName name="IQ_HC_REV_PER_EQUIV_ADMISSIONS_GROWTH">"c5999"</definedName>
    <definedName name="IQ_HC_REV_PER_PATIENT_DAY">"c5969"</definedName>
    <definedName name="IQ_HC_REV_PER_PATIENT_DAY_SF">"c6018"</definedName>
    <definedName name="IQ_HC_SALARIES_PCT_REV">"c5970"</definedName>
    <definedName name="IQ_HC_SUPPLIES_PCT_REV">"c5971"</definedName>
    <definedName name="IQ_HC_TOTAL_PROCEDURES">"c5963"</definedName>
    <definedName name="IQ_HC_TOTAL_PROCEDURES_SF">"c6013"</definedName>
    <definedName name="IQ_HC_UNINSURED_PCT_ADMISSIONS">"c5983"</definedName>
    <definedName name="IQ_HC_UNINSURED_PCT_REV">"c5979"</definedName>
    <definedName name="IQ_HIGH_TARGET_PRICE" hidden="1">"c1651"</definedName>
    <definedName name="IQ_HIGH_TARGET_PRICE_REUT">"c5317"</definedName>
    <definedName name="IQ_HIGHPRICE" hidden="1">"c545"</definedName>
    <definedName name="IQ_HOME_AVG_LOAN_SIZE">"c5911"</definedName>
    <definedName name="IQ_HOME_BACKLOG">"c5844"</definedName>
    <definedName name="IQ_HOME_BACKLOG_AVG_JV">"c5848"</definedName>
    <definedName name="IQ_HOME_BACKLOG_AVG_JV_GROWTH">"c5928"</definedName>
    <definedName name="IQ_HOME_BACKLOG_AVG_JV_INC">"c5851"</definedName>
    <definedName name="IQ_HOME_BACKLOG_AVG_JV_INC_GROWTH">"c5931"</definedName>
    <definedName name="IQ_HOME_BACKLOG_AVG_PRICE">"c5845"</definedName>
    <definedName name="IQ_HOME_BACKLOG_AVG_PRICE_GROWTH">"c5925"</definedName>
    <definedName name="IQ_HOME_BACKLOG_GROWTH">"c5924"</definedName>
    <definedName name="IQ_HOME_BACKLOG_JV">"c5847"</definedName>
    <definedName name="IQ_HOME_BACKLOG_JV_GROWTH">"c5927"</definedName>
    <definedName name="IQ_HOME_BACKLOG_JV_INC">"c5850"</definedName>
    <definedName name="IQ_HOME_BACKLOG_JV_INC_GROWTH">"c5930"</definedName>
    <definedName name="IQ_HOME_BACKLOG_VALUE">"c5846"</definedName>
    <definedName name="IQ_HOME_BACKLOG_VALUE_GROWTH">"c5926"</definedName>
    <definedName name="IQ_HOME_BACKLOG_VALUE_JV">"c5849"</definedName>
    <definedName name="IQ_HOME_BACKLOG_VALUE_JV_GROWTH">"c5929"</definedName>
    <definedName name="IQ_HOME_BACKLOG_VALUE_JV_INC">"c5852"</definedName>
    <definedName name="IQ_HOME_BACKLOG_VALUE_JV_INC_GROWTH">"c5932"</definedName>
    <definedName name="IQ_HOME_COMMUNITIES_ACTIVE">"c5862"</definedName>
    <definedName name="IQ_HOME_COMMUNITIES_ACTIVE_GROWTH">"c5942"</definedName>
    <definedName name="IQ_HOME_COMMUNITIES_ACTIVE_JV">"c5863"</definedName>
    <definedName name="IQ_HOME_COMMUNITIES_ACTIVE_JV_GROWTH">"c5943"</definedName>
    <definedName name="IQ_HOME_COMMUNITIES_ACTIVE_JV_INC">"c5864"</definedName>
    <definedName name="IQ_HOME_COMMUNITIES_ACTIVE_JV_INC_GROWTH">"c5944"</definedName>
    <definedName name="IQ_HOME_COST_CONSTRUCTION_SVCS">"c5882"</definedName>
    <definedName name="IQ_HOME_COST_ELIMINATIONS_OTHER">"c5883"</definedName>
    <definedName name="IQ_HOME_COST_FINANCIAL_SVCS">"c5881"</definedName>
    <definedName name="IQ_HOME_COST_HOUSING">"c5877"</definedName>
    <definedName name="IQ_HOME_COST_LAND_LOT">"c5878"</definedName>
    <definedName name="IQ_HOME_COST_OTHER_HOMEBUILDING">"c5879"</definedName>
    <definedName name="IQ_HOME_COST_TOTAL">"c5884"</definedName>
    <definedName name="IQ_HOME_COST_TOTAL_HOMEBUILDING">"c5880"</definedName>
    <definedName name="IQ_HOME_DELIVERED">"c5835"</definedName>
    <definedName name="IQ_HOME_DELIVERED_AVG_PRICE">"c5836"</definedName>
    <definedName name="IQ_HOME_DELIVERED_AVG_PRICE_GROWTH">"c5916"</definedName>
    <definedName name="IQ_HOME_DELIVERED_AVG_PRICE_JV">"c5839"</definedName>
    <definedName name="IQ_HOME_DELIVERED_AVG_PRICE_JV_GROWTH">"c5919"</definedName>
    <definedName name="IQ_HOME_DELIVERED_AVG_PRICE_JV_INC">"c5842"</definedName>
    <definedName name="IQ_HOME_DELIVERED_AVG_PRICE_JV_INC_GROWTH">"c5922"</definedName>
    <definedName name="IQ_HOME_DELIVERED_GROWTH">"c5915"</definedName>
    <definedName name="IQ_HOME_DELIVERED_JV">"c5838"</definedName>
    <definedName name="IQ_HOME_DELIVERED_JV_GROWTH">"c5918"</definedName>
    <definedName name="IQ_HOME_DELIVERED_JV_INC">"c5841"</definedName>
    <definedName name="IQ_HOME_DELIVERED_JV_INC_GROWTH">"c5921"</definedName>
    <definedName name="IQ_HOME_DELIVERED_VALUE">"c5837"</definedName>
    <definedName name="IQ_HOME_DELIVERED_VALUE_GROWTH">"c5917"</definedName>
    <definedName name="IQ_HOME_DELIVERED_VALUE_JV">"c5840"</definedName>
    <definedName name="IQ_HOME_DELIVERED_VALUE_JV_GROWTH">"c5920"</definedName>
    <definedName name="IQ_HOME_DELIVERED_VALUE_JV_INC">"c5843"</definedName>
    <definedName name="IQ_HOME_DELIVERED_VALUE_JV_INC_GROWTH">"c5923"</definedName>
    <definedName name="IQ_HOME_FINISHED_HOMES_CIP">"c5865"</definedName>
    <definedName name="IQ_HOME_FIRSTLIEN_MORT_ORIGINATED">"c5905"</definedName>
    <definedName name="IQ_HOME_FIRSTLIEN_MORT_ORIGINATED_VOL">"c5908"</definedName>
    <definedName name="IQ_HOME_HUC">"c5822"</definedName>
    <definedName name="IQ_HOME_HUC_JV">"c5823"</definedName>
    <definedName name="IQ_HOME_HUC_JV_INC">"c5824"</definedName>
    <definedName name="IQ_HOME_INV_NOT_OWNED">"c5868"</definedName>
    <definedName name="IQ_HOME_LAND_DEVELOPMENT">"c5866"</definedName>
    <definedName name="IQ_HOME_LAND_FUTURE_DEVELOPMENT">"c5867"</definedName>
    <definedName name="IQ_HOME_LOAN_APPLICATIONS">"c5910"</definedName>
    <definedName name="IQ_HOME_LOANS_SOLD_COUNT">"c5912"</definedName>
    <definedName name="IQ_HOME_LOANS_SOLD_VALUE">"c5913"</definedName>
    <definedName name="IQ_HOME_LOTS_CONTROLLED">"c5831"</definedName>
    <definedName name="IQ_HOME_LOTS_FINISHED">"c5827"</definedName>
    <definedName name="IQ_HOME_LOTS_HELD_SALE">"c5830"</definedName>
    <definedName name="IQ_HOME_LOTS_JV">"c5833"</definedName>
    <definedName name="IQ_HOME_LOTS_JV_INC">"c5834"</definedName>
    <definedName name="IQ_HOME_LOTS_OTHER">"c5832"</definedName>
    <definedName name="IQ_HOME_LOTS_OWNED">"c5828"</definedName>
    <definedName name="IQ_HOME_LOTS_UNDER_DEVELOPMENT">"c5826"</definedName>
    <definedName name="IQ_HOME_LOTS_UNDER_OPTION">"c5829"</definedName>
    <definedName name="IQ_HOME_LOTS_UNDEVELOPED">"c5825"</definedName>
    <definedName name="IQ_HOME_MORT_CAPTURE_RATE">"c5906"</definedName>
    <definedName name="IQ_HOME_MORT_ORIGINATED">"c5907"</definedName>
    <definedName name="IQ_HOME_OBLIGATIONS_INV_NOT_OWNED">"c5914"</definedName>
    <definedName name="IQ_HOME_ORDERS">"c5853"</definedName>
    <definedName name="IQ_HOME_ORDERS_AVG_PRICE">"c5854"</definedName>
    <definedName name="IQ_HOME_ORDERS_AVG_PRICE_GROWTH">"c5934"</definedName>
    <definedName name="IQ_HOME_ORDERS_AVG_PRICE_JV">"c5857"</definedName>
    <definedName name="IQ_HOME_ORDERS_AVG_PRICE_JV_GROWTH">"c5937"</definedName>
    <definedName name="IQ_HOME_ORDERS_AVG_PRICE_JV_INC">"c5860"</definedName>
    <definedName name="IQ_HOME_ORDERS_AVG_PRICE_JV_INC_GROWTH">"c5940"</definedName>
    <definedName name="IQ_HOME_ORDERS_GROWTH">"c5933"</definedName>
    <definedName name="IQ_HOME_ORDERS_JV">"c5856"</definedName>
    <definedName name="IQ_HOME_ORDERS_JV_GROWTH">"c5936"</definedName>
    <definedName name="IQ_HOME_ORDERS_JV_INC">"c5859"</definedName>
    <definedName name="IQ_HOME_ORDERS_JV_INC_GROWTH">"c5939"</definedName>
    <definedName name="IQ_HOME_ORDERS_VALUE">"c5855"</definedName>
    <definedName name="IQ_HOME_ORDERS_VALUE_GROWTH">"c5935"</definedName>
    <definedName name="IQ_HOME_ORDERS_VALUE_JV">"c5858"</definedName>
    <definedName name="IQ_HOME_ORDERS_VALUE_JV_GROWTH">"c5938"</definedName>
    <definedName name="IQ_HOME_ORDERS_VALUE_JV_INC">"c5861"</definedName>
    <definedName name="IQ_HOME_ORDERS_VALUE_JV_INC_GROWTH">"c5941"</definedName>
    <definedName name="IQ_HOME_ORIGINATION_TOTAL">"c5909"</definedName>
    <definedName name="IQ_HOME_PRETAX_INC_CONSTRUCTION_SVCS">"c5890"</definedName>
    <definedName name="IQ_HOME_PRETAX_INC_ELIMINATIONS_OTHER">"c5891"</definedName>
    <definedName name="IQ_HOME_PRETAX_INC_FINANCIAL_SVCS">"c5889"</definedName>
    <definedName name="IQ_HOME_PRETAX_INC_HOUSING">"c5885"</definedName>
    <definedName name="IQ_HOME_PRETAX_INC_LAND_LOT">"c5886"</definedName>
    <definedName name="IQ_HOME_PRETAX_INC_OTHER_HOMEBUILDING">"c5887"</definedName>
    <definedName name="IQ_HOME_PRETAX_INC_TOTAL">"c5892"</definedName>
    <definedName name="IQ_HOME_PRETAX_INC_TOTAL_HOMEBUILDING">"c5888"</definedName>
    <definedName name="IQ_HOME_PURCH_OBLIGATION_1YR">"c5898"</definedName>
    <definedName name="IQ_HOME_PURCH_OBLIGATION_2YR">"c5899"</definedName>
    <definedName name="IQ_HOME_PURCH_OBLIGATION_3YR">"c5900"</definedName>
    <definedName name="IQ_HOME_PURCH_OBLIGATION_4YR">"c5901"</definedName>
    <definedName name="IQ_HOME_PURCH_OBLIGATION_5YR">"c5902"</definedName>
    <definedName name="IQ_HOME_PURCH_OBLIGATION_AFTER5">"c5903"</definedName>
    <definedName name="IQ_HOME_PURCH_OBLIGATION_TOTAL">"c5904"</definedName>
    <definedName name="IQ_HOME_REV_CONSTRUCTION_SERVICES">"c5874"</definedName>
    <definedName name="IQ_HOME_REV_ELIMINATIONS_OTHER">"c5875"</definedName>
    <definedName name="IQ_HOME_REV_FINANCIAL_SERVICES">"c5873"</definedName>
    <definedName name="IQ_HOME_REV_HOUSING">"c5872"</definedName>
    <definedName name="IQ_HOME_REV_LAND_LOT">"c5870"</definedName>
    <definedName name="IQ_HOME_REV_OTHER_HOMEBUILDING">"c5871"</definedName>
    <definedName name="IQ_HOME_REV_TOTAL">"c5876"</definedName>
    <definedName name="IQ_HOME_TOTAL_INV">"c5869"</definedName>
    <definedName name="IQ_HOME_WARRANTY_RES_BEG">"c5893"</definedName>
    <definedName name="IQ_HOME_WARRANTY_RES_END">"c5897"</definedName>
    <definedName name="IQ_HOME_WARRANTY_RES_ISS">"c5894"</definedName>
    <definedName name="IQ_HOME_WARRANTY_RES_OTHER">"c5896"</definedName>
    <definedName name="IQ_HOME_WARRANTY_RES_PAY">"c5895"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DUSTRY" hidden="1">"c3601"</definedName>
    <definedName name="IQ_INDUSTRY_GROUP" hidden="1">"c3602"</definedName>
    <definedName name="IQ_INDUSTRY_SECTOR" hidden="1">"c3603"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>"c6223"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>"c6224"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">"c6225"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CAGR">"c6164"</definedName>
    <definedName name="IQ_INV_10YR_ANN_GROWTH" hidden="1">"c1930"</definedName>
    <definedName name="IQ_INV_1YR_ANN_GROWTH" hidden="1">"c1925"</definedName>
    <definedName name="IQ_INV_2YR_ANN_CAGR">"c6160"</definedName>
    <definedName name="IQ_INV_2YR_ANN_GROWTH" hidden="1">"c1926"</definedName>
    <definedName name="IQ_INV_3YR_ANN_CAGR">"c6161"</definedName>
    <definedName name="IQ_INV_3YR_ANN_GROWTH" hidden="1">"c1927"</definedName>
    <definedName name="IQ_INV_5YR_ANN_CAGR">"c6162"</definedName>
    <definedName name="IQ_INV_5YR_ANN_GROWTH" hidden="1">"c1928"</definedName>
    <definedName name="IQ_INV_7YR_ANN_CAGR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>"c6227"</definedName>
    <definedName name="IQ_INVEST_LOANS_CF_REIT" hidden="1">"c633"</definedName>
    <definedName name="IQ_INVEST_LOANS_CF_UTI" hidden="1">"c634"</definedName>
    <definedName name="IQ_INVEST_MUNI_SECURITY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>"c6228"</definedName>
    <definedName name="IQ_INVEST_SECURITY_CF_REIT" hidden="1">"c642"</definedName>
    <definedName name="IQ_INVEST_SECURITY_CF_UTI" hidden="1">"c643"</definedName>
    <definedName name="IQ_INVEST_SECURITY_SUPPL">"c5511"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>"c6174"</definedName>
    <definedName name="IQ_LFCF_10YR_ANN_GROWTH" hidden="1">"c1942"</definedName>
    <definedName name="IQ_LFCF_1YR_ANN_GROWTH" hidden="1">"c1937"</definedName>
    <definedName name="IQ_LFCF_2YR_ANN_CAGR">"c6170"</definedName>
    <definedName name="IQ_LFCF_2YR_ANN_GROWTH" hidden="1">"c1938"</definedName>
    <definedName name="IQ_LFCF_3YR_ANN_CAGR">"c6171"</definedName>
    <definedName name="IQ_LFCF_3YR_ANN_GROWTH" hidden="1">"c1939"</definedName>
    <definedName name="IQ_LFCF_5YR_ANN_CAGR">"c6172"</definedName>
    <definedName name="IQ_LFCF_5YR_ANN_GROWTH" hidden="1">"c1940"</definedName>
    <definedName name="IQ_LFCF_7YR_ANN_CAGR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>"c6230"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REUT">"c5318"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>"c6231"</definedName>
    <definedName name="IQ_LT_DEBT_ISSUED_REIT" hidden="1">"c686"</definedName>
    <definedName name="IQ_LT_DEBT_ISSUED_UTI" hidden="1">"c687"</definedName>
    <definedName name="IQ_LT_DEBT_RE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>"c6234"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CAPEX" hidden="1">"c2947"</definedName>
    <definedName name="IQ_MAINT_CAPEX_ACT_OR_EST">"c4458"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DIAN_TARGET_PRICE_REUT">"c5316"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>"c4048"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AV_ACT_OR_EST">"c2225"</definedName>
    <definedName name="IQ_NAV_EST">"c1751"</definedName>
    <definedName name="IQ_NAV_HIGH_EST">"c1753"</definedName>
    <definedName name="IQ_NAV_LOW_EST">"c1754"</definedName>
    <definedName name="IQ_NAV_MEDIAN_EST">"c1752"</definedName>
    <definedName name="IQ_NAV_NUM_EST">"c1755"</definedName>
    <definedName name="IQ_NAV_STDDEV_EST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CAGR">"c6100"</definedName>
    <definedName name="IQ_NET_INT_INC_10YR_ANN_GROWTH" hidden="1">"c758"</definedName>
    <definedName name="IQ_NET_INT_INC_1YR_ANN_GROWTH" hidden="1">"c759"</definedName>
    <definedName name="IQ_NET_INT_INC_2YR_ANN_CAGR">"c6101"</definedName>
    <definedName name="IQ_NET_INT_INC_2YR_ANN_GROWTH" hidden="1">"c760"</definedName>
    <definedName name="IQ_NET_INT_INC_3YR_ANN_CAGR">"c6102"</definedName>
    <definedName name="IQ_NET_INT_INC_3YR_ANN_GROWTH" hidden="1">"c761"</definedName>
    <definedName name="IQ_NET_INT_INC_5YR_ANN_CAGR">"c6103"</definedName>
    <definedName name="IQ_NET_INT_INC_5YR_ANN_GROWTH" hidden="1">"c762"</definedName>
    <definedName name="IQ_NET_INT_INC_7YR_ANN_CAGR">"c6104"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CAGR">"c6105"</definedName>
    <definedName name="IQ_NET_LOANS_10YR_ANN_GROWTH" hidden="1">"c773"</definedName>
    <definedName name="IQ_NET_LOANS_1YR_ANN_GROWTH" hidden="1">"c774"</definedName>
    <definedName name="IQ_NET_LOANS_2YR_ANN_CAGR">"c6106"</definedName>
    <definedName name="IQ_NET_LOANS_2YR_ANN_GROWTH" hidden="1">"c775"</definedName>
    <definedName name="IQ_NET_LOANS_3YR_ANN_CAGR">"c6107"</definedName>
    <definedName name="IQ_NET_LOANS_3YR_ANN_GROWTH" hidden="1">"c776"</definedName>
    <definedName name="IQ_NET_LOANS_5YR_ANN_CAGR">"c6108"</definedName>
    <definedName name="IQ_NET_LOANS_5YR_ANN_GROWTH" hidden="1">"c777"</definedName>
    <definedName name="IQ_NET_LOANS_7YR_ANN_CAGR">"c6109"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CAGR">"c6110"</definedName>
    <definedName name="IQ_NI_10YR_ANN_GROWTH" hidden="1">"c782"</definedName>
    <definedName name="IQ_NI_1YR_ANN_GROWTH" hidden="1">"c783"</definedName>
    <definedName name="IQ_NI_2YR_ANN_CAGR">"c6111"</definedName>
    <definedName name="IQ_NI_2YR_ANN_GROWTH" hidden="1">"c784"</definedName>
    <definedName name="IQ_NI_3YR_ANN_CAGR">"c6112"</definedName>
    <definedName name="IQ_NI_3YR_ANN_GROWTH" hidden="1">"c785"</definedName>
    <definedName name="IQ_NI_5YR_ANN_CAGR">"c6113"</definedName>
    <definedName name="IQ_NI_5YR_ANN_GROWTH" hidden="1">"c786"</definedName>
    <definedName name="IQ_NI_7YR_ANN_CAGR">"c6114"</definedName>
    <definedName name="IQ_NI_7YR_ANN_GROWTH" hidden="1">"c787"</definedName>
    <definedName name="IQ_NI_ACT_OR_EST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>"c1716"</definedName>
    <definedName name="IQ_NI_GW_EST">"c1723"</definedName>
    <definedName name="IQ_NI_GW_HIGH_EST">"c1725"</definedName>
    <definedName name="IQ_NI_GW_LOW_EST">"c1726"</definedName>
    <definedName name="IQ_NI_GW_MEDIAN_EST">"c1724"</definedName>
    <definedName name="IQ_NI_GW_NUM_EST">"c1727"</definedName>
    <definedName name="IQ_NI_GW_STDDEV_EST">"c1728"</definedName>
    <definedName name="IQ_NI_HIGH_EST">"c1718"</definedName>
    <definedName name="IQ_NI_LOW_EST">"c1719"</definedName>
    <definedName name="IQ_NI_MARGIN" hidden="1">"c794"</definedName>
    <definedName name="IQ_NI_MEDIAN_EST">"c1717"</definedName>
    <definedName name="IQ_NI_NORM" hidden="1">"c1901"</definedName>
    <definedName name="IQ_NI_NORM_10YR_ANN_CAGR">"c6189"</definedName>
    <definedName name="IQ_NI_NORM_10YR_ANN_GROWTH" hidden="1">"c1960"</definedName>
    <definedName name="IQ_NI_NORM_1YR_ANN_GROWTH" hidden="1">"c1955"</definedName>
    <definedName name="IQ_NI_NORM_2YR_ANN_CAGR">"c6185"</definedName>
    <definedName name="IQ_NI_NORM_2YR_ANN_GROWTH" hidden="1">"c1956"</definedName>
    <definedName name="IQ_NI_NORM_3YR_ANN_CAGR">"c6186"</definedName>
    <definedName name="IQ_NI_NORM_3YR_ANN_GROWTH" hidden="1">"c1957"</definedName>
    <definedName name="IQ_NI_NORM_5YR_ANN_CAGR">"c6187"</definedName>
    <definedName name="IQ_NI_NORM_5YR_ANN_GROWTH" hidden="1">"c1958"</definedName>
    <definedName name="IQ_NI_NORM_7YR_ANN_CAGR">"c6188"</definedName>
    <definedName name="IQ_NI_NORM_7YR_ANN_GROWTH" hidden="1">"c1959"</definedName>
    <definedName name="IQ_NI_NORM_MARGIN" hidden="1">"c1964"</definedName>
    <definedName name="IQ_NI_NUM_EST">"c1720"</definedName>
    <definedName name="IQ_NI_REPORTED_EST">"c1730"</definedName>
    <definedName name="IQ_NI_REPORTED_HIGH_EST">"c1732"</definedName>
    <definedName name="IQ_NI_REPORTED_LOW_EST">"c1733"</definedName>
    <definedName name="IQ_NI_REPORTED_MEDIAN_EST">"c1731"</definedName>
    <definedName name="IQ_NI_REPORTED_NUM_EST">"c1734"</definedName>
    <definedName name="IQ_NI_REPORTED_STDDEV_EST">"c1735"</definedName>
    <definedName name="IQ_NI_SBC_ACT_OR_EST">"c4474"</definedName>
    <definedName name="IQ_NI_SBC_GW_ACT_OR_EST">"c4478"</definedName>
    <definedName name="IQ_NI_SFAS" hidden="1">"c795"</definedName>
    <definedName name="IQ_NI_STDDEV_EST">"c1721"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CAGR">"c6115"</definedName>
    <definedName name="IQ_NON_INT_INC_10YR_ANN_GROWTH" hidden="1">"c803"</definedName>
    <definedName name="IQ_NON_INT_INC_1YR_ANN_GROWTH" hidden="1">"c804"</definedName>
    <definedName name="IQ_NON_INT_INC_2YR_ANN_CAGR">"c6116"</definedName>
    <definedName name="IQ_NON_INT_INC_2YR_ANN_GROWTH" hidden="1">"c805"</definedName>
    <definedName name="IQ_NON_INT_INC_3YR_ANN_CAGR">"c6117"</definedName>
    <definedName name="IQ_NON_INT_INC_3YR_ANN_GROWTH" hidden="1">"c806"</definedName>
    <definedName name="IQ_NON_INT_INC_5YR_ANN_CAGR">"c6118"</definedName>
    <definedName name="IQ_NON_INT_INC_5YR_ANN_GROWTH" hidden="1">"c807"</definedName>
    <definedName name="IQ_NON_INT_INC_7YR_ANN_CAGR">"c6119"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>"c6120"</definedName>
    <definedName name="IQ_NON_PERF_ASSETS_10YR_ANN_GROWTH" hidden="1">"c811"</definedName>
    <definedName name="IQ_NON_PERF_ASSETS_1YR_ANN_GROWTH" hidden="1">"c812"</definedName>
    <definedName name="IQ_NON_PERF_ASSETS_2YR_ANN_CAGR">"c6121"</definedName>
    <definedName name="IQ_NON_PERF_ASSETS_2YR_ANN_GROWTH" hidden="1">"c813"</definedName>
    <definedName name="IQ_NON_PERF_ASSETS_3YR_ANN_CAGR">"c6122"</definedName>
    <definedName name="IQ_NON_PERF_ASSETS_3YR_ANN_GROWTH" hidden="1">"c814"</definedName>
    <definedName name="IQ_NON_PERF_ASSETS_5YR_ANN_CAGR">"c6123"</definedName>
    <definedName name="IQ_NON_PERF_ASSETS_5YR_ANN_GROWTH" hidden="1">"c815"</definedName>
    <definedName name="IQ_NON_PERF_ASSETS_7YR_ANN_CAGR">"c6124"</definedName>
    <definedName name="IQ_NON_PERF_ASSETS_7YR_ANN_GROWTH" hidden="1">"c816"</definedName>
    <definedName name="IQ_NON_PERF_ASSETS_TOTAL_ASSETS" hidden="1">"c817"</definedName>
    <definedName name="IQ_NON_PERF_LOANS_10YR_ANN_CAGR">"c6125"</definedName>
    <definedName name="IQ_NON_PERF_LOANS_10YR_ANN_GROWTH" hidden="1">"c818"</definedName>
    <definedName name="IQ_NON_PERF_LOANS_1YR_ANN_GROWTH" hidden="1">"c819"</definedName>
    <definedName name="IQ_NON_PERF_LOANS_2YR_ANN_CAGR">"c6126"</definedName>
    <definedName name="IQ_NON_PERF_LOANS_2YR_ANN_GROWTH" hidden="1">"c820"</definedName>
    <definedName name="IQ_NON_PERF_LOANS_3YR_ANN_CAGR">"c6127"</definedName>
    <definedName name="IQ_NON_PERF_LOANS_3YR_ANN_GROWTH" hidden="1">"c821"</definedName>
    <definedName name="IQ_NON_PERF_LOANS_5YR_ANN_CAGR">"c6128"</definedName>
    <definedName name="IQ_NON_PERF_LOANS_5YR_ANN_GROWTH" hidden="1">"c822"</definedName>
    <definedName name="IQ_NON_PERF_LOANS_7YR_ANN_CAGR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CAGR">"c6130"</definedName>
    <definedName name="IQ_NPPE_10YR_ANN_GROWTH" hidden="1">"c830"</definedName>
    <definedName name="IQ_NPPE_1YR_ANN_GROWTH" hidden="1">"c831"</definedName>
    <definedName name="IQ_NPPE_2YR_ANN_CAGR">"c6131"</definedName>
    <definedName name="IQ_NPPE_2YR_ANN_GROWTH" hidden="1">"c832"</definedName>
    <definedName name="IQ_NPPE_3YR_ANN_CAGR">"c6132"</definedName>
    <definedName name="IQ_NPPE_3YR_ANN_GROWTH" hidden="1">"c833"</definedName>
    <definedName name="IQ_NPPE_5YR_ANN_CAGR">"c6133"</definedName>
    <definedName name="IQ_NPPE_5YR_ANN_GROWTH" hidden="1">"c834"</definedName>
    <definedName name="IQ_NPPE_7YR_ANN_CAGR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SALES_VOL_EQ_INC_GAS">"c5797"</definedName>
    <definedName name="IQ_OG_AVG_DAILY_SALES_VOL_EQ_INC_NGL">"c5798"</definedName>
    <definedName name="IQ_OG_AVG_DAILY_SALES_VOL_EQ_INC_OIL">"c5796"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>"c5802"</definedName>
    <definedName name="IQ_OG_DEVELOPED_ACRE_NET_EQ_INC">"c5803"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>"c5794"</definedName>
    <definedName name="IQ_OG_SALES_VOL_EQ_INC_NGL">"c5795"</definedName>
    <definedName name="IQ_OG_SALES_VOL_EQ_INC_OIL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ACRE_GROSS_EQ_INC">"c5800"</definedName>
    <definedName name="IQ_OG_UNDEVELOPED_ACRE_NET_EQ_INC">"c5801"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>"c5774"</definedName>
    <definedName name="IQ_OPEB_ACT_NEXT_DOM">"c5772"</definedName>
    <definedName name="IQ_OPEB_ACT_NEXT_FOREIGN">"c5773"</definedName>
    <definedName name="IQ_OPEB_AMT_RECOG_NEXT">"c5783"</definedName>
    <definedName name="IQ_OPEB_AMT_RECOG_NEXT_DOM">"c5781"</definedName>
    <definedName name="IQ_OPEB_AMT_RECOG_NEXT_FOREIGN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>"c5759"</definedName>
    <definedName name="IQ_OPEB_CI_ACT_DOM">"c5757"</definedName>
    <definedName name="IQ_OPEB_CI_ACT_FOREIGN">"c5758"</definedName>
    <definedName name="IQ_OPEB_CI_NET_AMT_RECOG">"c5771"</definedName>
    <definedName name="IQ_OPEB_CI_NET_AMT_RECOG_DOM">"c5769"</definedName>
    <definedName name="IQ_OPEB_CI_NET_AMT_RECOG_FOREIGN">"c5770"</definedName>
    <definedName name="IQ_OPEB_CI_OTHER_MISC_ADJ">"c5768"</definedName>
    <definedName name="IQ_OPEB_CI_OTHER_MISC_ADJ_DOM">"c5766"</definedName>
    <definedName name="IQ_OPEB_CI_OTHER_MISC_ADJ_FOREIGN">"c5767"</definedName>
    <definedName name="IQ_OPEB_CI_PRIOR_SERVICE">"c5762"</definedName>
    <definedName name="IQ_OPEB_CI_PRIOR_SERVICE_DOM">"c5760"</definedName>
    <definedName name="IQ_OPEB_CI_PRIOR_SERVICE_FOREIGN">"c5761"</definedName>
    <definedName name="IQ_OPEB_CI_TRANSITION">"c5765"</definedName>
    <definedName name="IQ_OPEB_CI_TRANSITION_DOM">"c5763"</definedName>
    <definedName name="IQ_OPEB_CI_TRANSITION_FOREIGN">"c5764"</definedName>
    <definedName name="IQ_OPEB_CL">"c5789"</definedName>
    <definedName name="IQ_OPEB_CL_DOM">"c5787"</definedName>
    <definedName name="IQ_OPEB_CL_FOREIGN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>"c5786"</definedName>
    <definedName name="IQ_OPEB_LT_ASSETS_DOM">"c5784"</definedName>
    <definedName name="IQ_OPEB_LT_ASSETS_FOREIGN">"c5785"</definedName>
    <definedName name="IQ_OPEB_LT_LIAB">"c5792"</definedName>
    <definedName name="IQ_OPEB_LT_LIAB_DOM">"c5790"</definedName>
    <definedName name="IQ_OPEB_LT_LIAB_FOREIGN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>"c5777"</definedName>
    <definedName name="IQ_OPEB_PRIOR_SERVICE_NEXT_DOM">"c5775"</definedName>
    <definedName name="IQ_OPEB_PRIOR_SERVICE_NEXT_FOREIGN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>"c5780"</definedName>
    <definedName name="IQ_OPEB_TRANSITION_NEXT_DOM">"c5778"</definedName>
    <definedName name="IQ_OPEB_TRANSITION_NEXT_FOREIGN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>"c2220"</definedName>
    <definedName name="IQ_OPER_INC_BR" hidden="1">"c850"</definedName>
    <definedName name="IQ_OPER_INC_EST">"c1688"</definedName>
    <definedName name="IQ_OPER_INC_FIN" hidden="1">"c851"</definedName>
    <definedName name="IQ_OPER_INC_HIGH_EST">"c1690"</definedName>
    <definedName name="IQ_OPER_INC_INS" hidden="1">"c852"</definedName>
    <definedName name="IQ_OPER_INC_LOW_EST">"c1691"</definedName>
    <definedName name="IQ_OPER_INC_MARGIN" hidden="1">"c1448"</definedName>
    <definedName name="IQ_OPER_INC_MEDIAN_EST">"c1689"</definedName>
    <definedName name="IQ_OPER_INC_NUM_EST">"c1692"</definedName>
    <definedName name="IQ_OPER_INC_RE">"c6240"</definedName>
    <definedName name="IQ_OPER_INC_REIT" hidden="1">"c853"</definedName>
    <definedName name="IQ_OPER_INC_STDDEV_EST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>"c5805"</definedName>
    <definedName name="IQ_OPTIONS_STRIKE_PRICE_CANCELLED">"c5807"</definedName>
    <definedName name="IQ_OPTIONS_STRIKE_PRICE_EXERCISABLE">"c5808"</definedName>
    <definedName name="IQ_OPTIONS_STRIKE_PRICE_EXERCISED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MORT">"c5563"</definedName>
    <definedName name="IQ_OTHER_AMORT_BNK">"c5565"</definedName>
    <definedName name="IQ_OTHER_AMORT_BR">"c5566"</definedName>
    <definedName name="IQ_OTHER_AMORT_FIN">"c5567"</definedName>
    <definedName name="IQ_OTHER_AMORT_INS">"c5568"</definedName>
    <definedName name="IQ_OTHER_AMORT_RE">"c6287"</definedName>
    <definedName name="IQ_OTHER_AMORT_REIT">"c5569"</definedName>
    <definedName name="IQ_OTHER_AMORT_UTI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>"C6021"</definedName>
    <definedName name="IQ_OTHER_CL_SUPPL_RE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>"c6247"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>"c6250"</definedName>
    <definedName name="IQ_OTHER_LIAB_LT_REIT" hidden="1">"c940"</definedName>
    <definedName name="IQ_OTHER_LIAB_LT_UTI" hidden="1">"c941"</definedName>
    <definedName name="IQ_OTHER_LIAB_RE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>"c6252"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>"c5814"</definedName>
    <definedName name="IQ_OTHER_OPTIONS_EXERCISED" hidden="1">"c2688"</definedName>
    <definedName name="IQ_OTHER_OPTIONS_GRANTED" hidden="1">"c2687"</definedName>
    <definedName name="IQ_OTHER_OPTIONS_STRIKE_PRICE_BEG_OS">"c5815"</definedName>
    <definedName name="IQ_OTHER_OPTIONS_STRIKE_PRICE_CANCELLED">"c5817"</definedName>
    <definedName name="IQ_OTHER_OPTIONS_STRIKE_PRICE_EXERCISABLE">"c5818"</definedName>
    <definedName name="IQ_OTHER_OPTIONS_STRIKE_PRICE_EXERCISED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>"c4049"</definedName>
    <definedName name="IQ_PE_NORMALIZED" hidden="1">"c2207"</definedName>
    <definedName name="IQ_PE_RATIO" hidden="1">"c1610"</definedName>
    <definedName name="IQ_PEG_FWD">"c1863"</definedName>
    <definedName name="IQ_PEG_FWD_REUT">"c4052"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>"c5738"</definedName>
    <definedName name="IQ_PENSION_ACT_NEXT_DOM">"c5736"</definedName>
    <definedName name="IQ_PENSION_ACT_NEXT_FOREIGN">"c5737"</definedName>
    <definedName name="IQ_PENSION_AMT_RECOG_NEXT_DOM">"c5745"</definedName>
    <definedName name="IQ_PENSION_AMT_RECOG_NEXT_FOREIGN">"c5746"</definedName>
    <definedName name="IQ_PENSION_AMT_RECOG_PERIOD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>"c5723"</definedName>
    <definedName name="IQ_PENSION_CI_ACT_DOM">"c5721"</definedName>
    <definedName name="IQ_PENSION_CI_ACT_FOREIGN">"c5722"</definedName>
    <definedName name="IQ_PENSION_CI_NET_AMT_RECOG">"c5735"</definedName>
    <definedName name="IQ_PENSION_CI_NET_AMT_RECOG_DOM">"c5733"</definedName>
    <definedName name="IQ_PENSION_CI_NET_AMT_RECOG_FOREIGN">"c5734"</definedName>
    <definedName name="IQ_PENSION_CI_OTHER_MISC_ADJ">"c5732"</definedName>
    <definedName name="IQ_PENSION_CI_OTHER_MISC_ADJ_DOM">"c5730"</definedName>
    <definedName name="IQ_PENSION_CI_OTHER_MISC_ADJ_FOREIGN">"c5731"</definedName>
    <definedName name="IQ_PENSION_CI_PRIOR_SERVICE">"c5726"</definedName>
    <definedName name="IQ_PENSION_CI_PRIOR_SERVICE_DOM">"c5724"</definedName>
    <definedName name="IQ_PENSION_CI_PRIOR_SERVICE_FOREIGN">"c5725"</definedName>
    <definedName name="IQ_PENSION_CI_TRANSITION">"c5729"</definedName>
    <definedName name="IQ_PENSION_CI_TRANSITION_DOM">"c5727"</definedName>
    <definedName name="IQ_PENSION_CI_TRANSITION_FOREIGN">"c5728"</definedName>
    <definedName name="IQ_PENSION_CL">"c5753"</definedName>
    <definedName name="IQ_PENSION_CL_DOM">"c5751"</definedName>
    <definedName name="IQ_PENSION_CL_FOREIGN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>"c5750"</definedName>
    <definedName name="IQ_PENSION_LT_ASSETS_DOM">"c5748"</definedName>
    <definedName name="IQ_PENSION_LT_ASSETS_FOREIGN">"c5749"</definedName>
    <definedName name="IQ_PENSION_LT_LIAB">"c5756"</definedName>
    <definedName name="IQ_PENSION_LT_LIAB_DOM">"c5754"</definedName>
    <definedName name="IQ_PENSION_LT_LIAB_FOREIGN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>"c5741"</definedName>
    <definedName name="IQ_PENSION_PRIOR_SERVICE_NEXT_DOM">"c5739"</definedName>
    <definedName name="IQ_PENSION_PRIOR_SERVICE_NEXT_FOREIGN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>"c5744"</definedName>
    <definedName name="IQ_PENSION_TRANSITION_NEXT_DOM">"c5742"</definedName>
    <definedName name="IQ_PENSION_TRANSITION_NEXT_FOREIGN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>"c1852"</definedName>
    <definedName name="IQ_PERCENT_CHANGE_EST_5YR_GROWTH_RATE_18MONTHS">"c1853"</definedName>
    <definedName name="IQ_PERCENT_CHANGE_EST_5YR_GROWTH_RATE_3MONTHS">"c1849"</definedName>
    <definedName name="IQ_PERCENT_CHANGE_EST_5YR_GROWTH_RATE_6MONTHS">"c1850"</definedName>
    <definedName name="IQ_PERCENT_CHANGE_EST_5YR_GROWTH_RATE_9MONTHS">"c1851"</definedName>
    <definedName name="IQ_PERCENT_CHANGE_EST_5YR_GROWTH_RATE_DAY">"c1846"</definedName>
    <definedName name="IQ_PERCENT_CHANGE_EST_5YR_GROWTH_RATE_MONTH">"c1848"</definedName>
    <definedName name="IQ_PERCENT_CHANGE_EST_5YR_GROWTH_RATE_WEEK">"c1847"</definedName>
    <definedName name="IQ_PERCENT_CHANGE_EST_CFPS_12MONTHS">"c1812"</definedName>
    <definedName name="IQ_PERCENT_CHANGE_EST_CFPS_18MONTHS">"c1813"</definedName>
    <definedName name="IQ_PERCENT_CHANGE_EST_CFPS_3MONTHS">"c1809"</definedName>
    <definedName name="IQ_PERCENT_CHANGE_EST_CFPS_6MONTHS">"c1810"</definedName>
    <definedName name="IQ_PERCENT_CHANGE_EST_CFPS_9MONTHS">"c1811"</definedName>
    <definedName name="IQ_PERCENT_CHANGE_EST_CFPS_DAY">"c1806"</definedName>
    <definedName name="IQ_PERCENT_CHANGE_EST_CFPS_MONTH">"c1808"</definedName>
    <definedName name="IQ_PERCENT_CHANGE_EST_CFPS_WEEK">"c1807"</definedName>
    <definedName name="IQ_PERCENT_CHANGE_EST_DPS_12MONTHS">"c1820"</definedName>
    <definedName name="IQ_PERCENT_CHANGE_EST_DPS_18MONTHS">"c1821"</definedName>
    <definedName name="IQ_PERCENT_CHANGE_EST_DPS_3MONTHS">"c1817"</definedName>
    <definedName name="IQ_PERCENT_CHANGE_EST_DPS_6MONTHS">"c1818"</definedName>
    <definedName name="IQ_PERCENT_CHANGE_EST_DPS_9MONTHS">"c1819"</definedName>
    <definedName name="IQ_PERCENT_CHANGE_EST_DPS_DAY">"c1814"</definedName>
    <definedName name="IQ_PERCENT_CHANGE_EST_DPS_MONTH">"c1816"</definedName>
    <definedName name="IQ_PERCENT_CHANGE_EST_DPS_WEEK">"c1815"</definedName>
    <definedName name="IQ_PERCENT_CHANGE_EST_EBITDA_12MONTHS">"c1804"</definedName>
    <definedName name="IQ_PERCENT_CHANGE_EST_EBITDA_18MONTHS">"c1805"</definedName>
    <definedName name="IQ_PERCENT_CHANGE_EST_EBITDA_3MONTHS">"c1801"</definedName>
    <definedName name="IQ_PERCENT_CHANGE_EST_EBITDA_6MONTHS">"c1802"</definedName>
    <definedName name="IQ_PERCENT_CHANGE_EST_EBITDA_9MONTHS">"c1803"</definedName>
    <definedName name="IQ_PERCENT_CHANGE_EST_EBITDA_DAY">"c1798"</definedName>
    <definedName name="IQ_PERCENT_CHANGE_EST_EBITDA_MONTH">"c1800"</definedName>
    <definedName name="IQ_PERCENT_CHANGE_EST_EBITDA_WEEK">"c1799"</definedName>
    <definedName name="IQ_PERCENT_CHANGE_EST_EPS_12MONTHS">"c1788"</definedName>
    <definedName name="IQ_PERCENT_CHANGE_EST_EPS_18MONTHS">"c1789"</definedName>
    <definedName name="IQ_PERCENT_CHANGE_EST_EPS_3MONTHS">"c1785"</definedName>
    <definedName name="IQ_PERCENT_CHANGE_EST_EPS_6MONTHS">"c1786"</definedName>
    <definedName name="IQ_PERCENT_CHANGE_EST_EPS_9MONTHS">"c1787"</definedName>
    <definedName name="IQ_PERCENT_CHANGE_EST_EPS_DAY">"c1782"</definedName>
    <definedName name="IQ_PERCENT_CHANGE_EST_EPS_MONTH">"c1784"</definedName>
    <definedName name="IQ_PERCENT_CHANGE_EST_EPS_WEEK">"c1783"</definedName>
    <definedName name="IQ_PERCENT_CHANGE_EST_FFO_12MONTHS">"c1828"</definedName>
    <definedName name="IQ_PERCENT_CHANGE_EST_FFO_18MONTHS">"c1829"</definedName>
    <definedName name="IQ_PERCENT_CHANGE_EST_FFO_3MONTHS">"c1825"</definedName>
    <definedName name="IQ_PERCENT_CHANGE_EST_FFO_6MONTHS">"c1826"</definedName>
    <definedName name="IQ_PERCENT_CHANGE_EST_FFO_9MONTHS">"c1827"</definedName>
    <definedName name="IQ_PERCENT_CHANGE_EST_FFO_DAY">"c1822"</definedName>
    <definedName name="IQ_PERCENT_CHANGE_EST_FFO_MONTH">"c1824"</definedName>
    <definedName name="IQ_PERCENT_CHANGE_EST_FFO_WEEK">"c1823"</definedName>
    <definedName name="IQ_PERCENT_CHANGE_EST_PRICE_TARGET_12MONTHS">"c1844"</definedName>
    <definedName name="IQ_PERCENT_CHANGE_EST_PRICE_TARGET_18MONTHS">"c1845"</definedName>
    <definedName name="IQ_PERCENT_CHANGE_EST_PRICE_TARGET_3MONTHS">"c1841"</definedName>
    <definedName name="IQ_PERCENT_CHANGE_EST_PRICE_TARGET_6MONTHS">"c1842"</definedName>
    <definedName name="IQ_PERCENT_CHANGE_EST_PRICE_TARGET_9MONTHS">"c1843"</definedName>
    <definedName name="IQ_PERCENT_CHANGE_EST_PRICE_TARGET_DAY">"c1838"</definedName>
    <definedName name="IQ_PERCENT_CHANGE_EST_PRICE_TARGET_MONTH">"c1840"</definedName>
    <definedName name="IQ_PERCENT_CHANGE_EST_PRICE_TARGET_WEEK">"c1839"</definedName>
    <definedName name="IQ_PERCENT_CHANGE_EST_RECO_12MONTHS">"c1836"</definedName>
    <definedName name="IQ_PERCENT_CHANGE_EST_RECO_18MONTHS">"c1837"</definedName>
    <definedName name="IQ_PERCENT_CHANGE_EST_RECO_3MONTHS">"c1833"</definedName>
    <definedName name="IQ_PERCENT_CHANGE_EST_RECO_6MONTHS">"c1834"</definedName>
    <definedName name="IQ_PERCENT_CHANGE_EST_RECO_9MONTHS">"c1835"</definedName>
    <definedName name="IQ_PERCENT_CHANGE_EST_RECO_DAY">"c1830"</definedName>
    <definedName name="IQ_PERCENT_CHANGE_EST_RECO_MONTH">"c1832"</definedName>
    <definedName name="IQ_PERCENT_CHANGE_EST_RECO_WEEK">"c1831"</definedName>
    <definedName name="IQ_PERCENT_CHANGE_EST_REV_12MONTHS">"c1796"</definedName>
    <definedName name="IQ_PERCENT_CHANGE_EST_REV_18MONTHS">"c1797"</definedName>
    <definedName name="IQ_PERCENT_CHANGE_EST_REV_3MONTHS">"c1793"</definedName>
    <definedName name="IQ_PERCENT_CHANGE_EST_REV_6MONTHS">"c1794"</definedName>
    <definedName name="IQ_PERCENT_CHANGE_EST_REV_9MONTHS">"c1795"</definedName>
    <definedName name="IQ_PERCENT_CHANGE_EST_REV_DAY">"c1790"</definedName>
    <definedName name="IQ_PERCENT_CHANGE_EST_REV_MONTH">"c1792"</definedName>
    <definedName name="IQ_PERCENT_CHANGE_EST_REV_WEEK">"c1791"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>"c1855"</definedName>
    <definedName name="IQ_PRE_OPEN_COST" hidden="1">"c1040"</definedName>
    <definedName name="IQ_PRE_TAX_ACT_OR_EST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>"c6262"</definedName>
    <definedName name="IQ_PREF_OTHER_REIT" hidden="1">"c1058"</definedName>
    <definedName name="IQ_PREF_OTHER_UTI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>"c1702"</definedName>
    <definedName name="IQ_PRETAX_GW_INC_HIGH_EST">"c1704"</definedName>
    <definedName name="IQ_PRETAX_GW_INC_LOW_EST">"c1705"</definedName>
    <definedName name="IQ_PRETAX_GW_INC_MEDIAN_EST">"c1703"</definedName>
    <definedName name="IQ_PRETAX_GW_INC_NUM_EST">"c1706"</definedName>
    <definedName name="IQ_PRETAX_GW_INC_STDDEV_EST">"c1707"</definedName>
    <definedName name="IQ_PRETAX_INC_EST">"c1695"</definedName>
    <definedName name="IQ_PRETAX_INC_HIGH_EST">"c1697"</definedName>
    <definedName name="IQ_PRETAX_INC_LOW_EST">"c1698"</definedName>
    <definedName name="IQ_PRETAX_INC_MEDIAN_EST">"c1696"</definedName>
    <definedName name="IQ_PRETAX_INC_NUM_EST">"c1699"</definedName>
    <definedName name="IQ_PRETAX_INC_STDDEV_EST">"c1700"</definedName>
    <definedName name="IQ_PRETAX_REPORT_INC_EST">"c1709"</definedName>
    <definedName name="IQ_PRETAX_REPORT_INC_HIGH_EST">"c1711"</definedName>
    <definedName name="IQ_PRETAX_REPORT_INC_LOW_EST">"c1712"</definedName>
    <definedName name="IQ_PRETAX_REPORT_INC_MEDIAN_EST">"c1710"</definedName>
    <definedName name="IQ_PRETAX_REPORT_INC_NUM_EST">"c1713"</definedName>
    <definedName name="IQ_PRETAX_REPORT_INC_STDDEV_EST">"c1714"</definedName>
    <definedName name="IQ_PRICE_CFPS_FWD">"c2237"</definedName>
    <definedName name="IQ_PRICE_OVER_BVPS" hidden="1">"c1412"</definedName>
    <definedName name="IQ_PRICE_OVER_LTM_EPS" hidden="1">"c1413"</definedName>
    <definedName name="IQ_PRICE_TARGET" hidden="1">"c82"</definedName>
    <definedName name="IQ_PRICE_TARGET_REUT">"c3631"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CAGR">"c6135"</definedName>
    <definedName name="IQ_PROVISION_10YR_ANN_GROWTH" hidden="1">"c1077"</definedName>
    <definedName name="IQ_PROVISION_1YR_ANN_GROWTH" hidden="1">"c1078"</definedName>
    <definedName name="IQ_PROVISION_2YR_ANN_CAGR">"c6136"</definedName>
    <definedName name="IQ_PROVISION_2YR_ANN_GROWTH" hidden="1">"c1079"</definedName>
    <definedName name="IQ_PROVISION_3YR_ANN_CAGR">"c6137"</definedName>
    <definedName name="IQ_PROVISION_3YR_ANN_GROWTH" hidden="1">"c1080"</definedName>
    <definedName name="IQ_PROVISION_5YR_ANN_CAGR">"c6138"</definedName>
    <definedName name="IQ_PROVISION_5YR_ANN_GROWTH" hidden="1">"c1081"</definedName>
    <definedName name="IQ_PROVISION_7YR_ANN_CAGR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CURRING_PROFIT_ACT_OR_EST">"c4507"</definedName>
    <definedName name="IQ_RECURRING_PROFIT_SHARE_ACT_OR_EST">"c4508"</definedName>
    <definedName name="IQ_REDEEM_PREF_STOCK" hidden="1">"c1417"</definedName>
    <definedName name="IQ_REF_ENTITY">"c6033"</definedName>
    <definedName name="IQ_REF_ENTITY_CIQID">"c6024"</definedName>
    <definedName name="IQ_REF_ENTITY_TICKER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>"c6192"</definedName>
    <definedName name="IQ_RESTRICTED_CASH_TOTAL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STDDEV_EST_REUT">"c3639"</definedName>
    <definedName name="IQ_REV_UTI" hidden="1">"c1125"</definedName>
    <definedName name="IQ_REVENUE" hidden="1">"c1422"</definedName>
    <definedName name="IQ_REVENUE_ACT_OR_EST" hidden="1">"c2214"</definedName>
    <definedName name="IQ_REVENUE_EST" hidden="1">"c1126"</definedName>
    <definedName name="IQ_REVENUE_EST_REUT">"c3634"</definedName>
    <definedName name="IQ_REVENUE_HIGH_EST" hidden="1">"c1127"</definedName>
    <definedName name="IQ_REVENUE_HIGH_EST_REUT">"c3636"</definedName>
    <definedName name="IQ_REVENUE_LOW_EST" hidden="1">"c1128"</definedName>
    <definedName name="IQ_REVENUE_LOW_EST_REUT">"c3637"</definedName>
    <definedName name="IQ_REVENUE_MEDIAN_EST" hidden="1">"c1662"</definedName>
    <definedName name="IQ_REVENUE_MEDIAN_EST_REUT">"c3635"</definedName>
    <definedName name="IQ_REVENUE_NUM_EST" hidden="1">"c1129"</definedName>
    <definedName name="IQ_REVENUE_NUM_EST_REUT">"c3638"</definedName>
    <definedName name="IQ_REVISION_DATE_" hidden="1">39406.4446296296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_PURCHASED_RESELL">"c5513"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>"c5821"</definedName>
    <definedName name="IQ_SHARES_PURCHASED_QUARTER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NUM_REUT">"c5319"</definedName>
    <definedName name="IQ_TARGET_PRICE_STDDEV" hidden="1">"c1654"</definedName>
    <definedName name="IQ_TARGET_PRICE_STDDEV_REUT">"c5320"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CAGR">"c6169"</definedName>
    <definedName name="IQ_TBV_10YR_ANN_GROWTH" hidden="1">"c1936"</definedName>
    <definedName name="IQ_TBV_1YR_ANN_GROWTH" hidden="1">"c1931"</definedName>
    <definedName name="IQ_TBV_2YR_ANN_CAGR">"c6165"</definedName>
    <definedName name="IQ_TBV_2YR_ANN_GROWTH" hidden="1">"c1932"</definedName>
    <definedName name="IQ_TBV_3YR_ANN_CAGR">"c6166"</definedName>
    <definedName name="IQ_TBV_3YR_ANN_GROWTH" hidden="1">"c1933"</definedName>
    <definedName name="IQ_TBV_5YR_ANN_CAGR">"c6167"</definedName>
    <definedName name="IQ_TBV_5YR_ANN_GROWTH" hidden="1">"c1934"</definedName>
    <definedName name="IQ_TBV_7YR_ANN_CAGR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REUT">"c4050"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>"c4051"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>"c6140"</definedName>
    <definedName name="IQ_TOTAL_ASSETS_10YR_ANN_GROWTH" hidden="1">"c1235"</definedName>
    <definedName name="IQ_TOTAL_ASSETS_1YR_ANN_GROWTH" hidden="1">"c1236"</definedName>
    <definedName name="IQ_TOTAL_ASSETS_2YR_ANN_CAGR">"c6141"</definedName>
    <definedName name="IQ_TOTAL_ASSETS_2YR_ANN_GROWTH" hidden="1">"c1237"</definedName>
    <definedName name="IQ_TOTAL_ASSETS_3YR_ANN_CAGR">"c6142"</definedName>
    <definedName name="IQ_TOTAL_ASSETS_3YR_ANN_GROWTH" hidden="1">"c1238"</definedName>
    <definedName name="IQ_TOTAL_ASSETS_5YR_ANN_CAGR">"c6143"</definedName>
    <definedName name="IQ_TOTAL_ASSETS_5YR_ANN_GROWTH" hidden="1">"c1239"</definedName>
    <definedName name="IQ_TOTAL_ASSETS_7YR_ANN_CAGR">"c6144"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>"c6272"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CAGR">"c6145"</definedName>
    <definedName name="IQ_TOTAL_EQUITY_10YR_ANN_GROWTH" hidden="1">"c1268"</definedName>
    <definedName name="IQ_TOTAL_EQUITY_1YR_ANN_GROWTH" hidden="1">"c1269"</definedName>
    <definedName name="IQ_TOTAL_EQUITY_2YR_ANN_CAGR">"c6146"</definedName>
    <definedName name="IQ_TOTAL_EQUITY_2YR_ANN_GROWTH" hidden="1">"c1270"</definedName>
    <definedName name="IQ_TOTAL_EQUITY_3YR_ANN_CAGR">"c6147"</definedName>
    <definedName name="IQ_TOTAL_EQUITY_3YR_ANN_GROWTH" hidden="1">"c1271"</definedName>
    <definedName name="IQ_TOTAL_EQUITY_5YR_ANN_CAGR">"c6148"</definedName>
    <definedName name="IQ_TOTAL_EQUITY_5YR_ANN_GROWTH" hidden="1">"c1272"</definedName>
    <definedName name="IQ_TOTAL_EQUITY_7YR_ANN_CAGR">"c6149"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ANS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>"c5819"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CAGR">"c6150"</definedName>
    <definedName name="IQ_TOTAL_REV_10YR_ANN_GROWTH" hidden="1">"c1295"</definedName>
    <definedName name="IQ_TOTAL_REV_1YR_ANN_GROWTH" hidden="1">"c1296"</definedName>
    <definedName name="IQ_TOTAL_REV_2YR_ANN_CAGR">"c6151"</definedName>
    <definedName name="IQ_TOTAL_REV_2YR_ANN_GROWTH" hidden="1">"c1297"</definedName>
    <definedName name="IQ_TOTAL_REV_3YR_ANN_CAGR">"c6152"</definedName>
    <definedName name="IQ_TOTAL_REV_3YR_ANN_GROWTH" hidden="1">"c1298"</definedName>
    <definedName name="IQ_TOTAL_REV_5YR_ANN_CAGR">"c6153"</definedName>
    <definedName name="IQ_TOTAL_REV_5YR_ANN_GROWTH" hidden="1">"c1299"</definedName>
    <definedName name="IQ_TOTAL_REV_7YR_ANN_CAGR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>"c6275"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UNUSUAL_BNK">"c5516"</definedName>
    <definedName name="IQ_TOTAL_UNUSUAL_BR">"c5517"</definedName>
    <definedName name="IQ_TOTAL_UNUSUAL_FIN">"c5518"</definedName>
    <definedName name="IQ_TOTAL_UNUSUAL_INS">"c5519"</definedName>
    <definedName name="IQ_TOTAL_UNUSUAL_RE">"c6286"</definedName>
    <definedName name="IQ_TOTAL_UNUSUAL_REIT">"c5520"</definedName>
    <definedName name="IQ_TOTAL_UNUSUAL_UTI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CAGR">"c6179"</definedName>
    <definedName name="IQ_UFCF_10YR_ANN_GROWTH" hidden="1">"c1948"</definedName>
    <definedName name="IQ_UFCF_1YR_ANN_GROWTH" hidden="1">"c1943"</definedName>
    <definedName name="IQ_UFCF_2YR_ANN_CAGR">"c6175"</definedName>
    <definedName name="IQ_UFCF_2YR_ANN_GROWTH" hidden="1">"c1944"</definedName>
    <definedName name="IQ_UFCF_3YR_ANN_CAGR">"c6176"</definedName>
    <definedName name="IQ_UFCF_3YR_ANN_GROWTH" hidden="1">"c1945"</definedName>
    <definedName name="IQ_UFCF_5YR_ANN_CAGR">"c6177"</definedName>
    <definedName name="IQ_UFCF_5YR_ANN_GROWTH" hidden="1">"c1946"</definedName>
    <definedName name="IQ_UFCF_7YR_ANN_CAGR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IP_INV" hidden="1">"c1335"</definedName>
    <definedName name="IQ_WORKING_CAP" hidden="1">"c3494"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sColHidden">FALSE</definedName>
    <definedName name="IsLTMColHidden">FALSE</definedName>
    <definedName name="jj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LBO">#REF!,#REF!,#REF!</definedName>
    <definedName name="LBO_1">#REF!</definedName>
    <definedName name="LBO_2">#REF!</definedName>
    <definedName name="LBO_3">#REF!</definedName>
    <definedName name="LBO_4">#REF!</definedName>
    <definedName name="LBO_5">#REF!</definedName>
    <definedName name="LBO_6">#REF!</definedName>
    <definedName name="LBO_7">#REF!</definedName>
    <definedName name="LBO_8">#REF!</definedName>
    <definedName name="LIBOR">#REF!</definedName>
    <definedName name="man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mans">{"quarterly",#N/A,FALSE,"Income Statement";#N/A,#N/A,FALSE,"print segment";#N/A,#N/A,FALSE,"Balance Sheet";#N/A,#N/A,FALSE,"Annl Inc";#N/A,#N/A,FALSE,"Cash Flow"}</definedName>
    <definedName name="me">"Button 5"</definedName>
    <definedName name="MEXICO_CASE">#REF!</definedName>
    <definedName name="n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No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print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range_1">#REF!</definedName>
    <definedName name="range_16">#REF!</definedName>
    <definedName name="range_17">#REF!</definedName>
    <definedName name="range_18">#REF!</definedName>
    <definedName name="range_2">#REF!</definedName>
    <definedName name="range_FF">#REF!</definedName>
    <definedName name="Range_Financials">#REF!</definedName>
    <definedName name="Recap_scenario">{"cap_structure",#N/A,FALSE,"Graph-Mkt Cap";"price",#N/A,FALSE,"Graph-Price";"ebit",#N/A,FALSE,"Graph-EBITDA";"ebitda",#N/A,FALSE,"Graph-EBITDA"}</definedName>
    <definedName name="S_U">#REF!</definedName>
    <definedName name="S1_BUYBACK_CASE">#REF!</definedName>
    <definedName name="S1_CRSO_CASE">#REF!</definedName>
    <definedName name="S1_EQUITY_RAISE_METHOD">#REF!</definedName>
    <definedName name="S1_RATINGS_CASE">#REF!</definedName>
    <definedName name="S1_WINECO_CASE">#REF!</definedName>
    <definedName name="S2_BUYBACK_CASE">#REF!</definedName>
    <definedName name="S2_EQUITY_RAISE_METHOD">#REF!</definedName>
    <definedName name="S2_RATINGS_CASE">#REF!</definedName>
    <definedName name="S3_EQUITY_RAISE_METHOD">#REF!</definedName>
    <definedName name="SAB_FINS_CASE">#REF!</definedName>
    <definedName name="SAB_SP">#REF!</definedName>
    <definedName name="SAPBEXrevision">18</definedName>
    <definedName name="SAPBEXsysID">"BWG"</definedName>
    <definedName name="SAPBEXwbID">"3LG2HDNOMZXXPT5GCGTKWGJ0B"</definedName>
    <definedName name="sencount">1</definedName>
    <definedName name="solver_cvg">0.0001</definedName>
    <definedName name="solver_drv">1</definedName>
    <definedName name="solver_est">1</definedName>
    <definedName name="solver_itr">100</definedName>
    <definedName name="solver_lin">2</definedName>
    <definedName name="solver_neg">2</definedName>
    <definedName name="solver_num">2</definedName>
    <definedName name="solver_nwt">1</definedName>
    <definedName name="solver_pre">0.1</definedName>
    <definedName name="solver_rel1">2</definedName>
    <definedName name="solver_rel2">2</definedName>
    <definedName name="solver_rhs1">7</definedName>
    <definedName name="solver_rhs2">7</definedName>
    <definedName name="solver_scl">2</definedName>
    <definedName name="solver_sho">2</definedName>
    <definedName name="solver_tim">100</definedName>
    <definedName name="solver_tol">0.1</definedName>
    <definedName name="solver_typ">3</definedName>
    <definedName name="solver_val">7</definedName>
    <definedName name="SYNERGIES_CASE">#REF!</definedName>
    <definedName name="Temp1">{"quarterly",#N/A,FALSE,"Income Statement";#N/A,#N/A,FALSE,"print segment";#N/A,#N/A,FALSE,"Balance Sheet";#N/A,#N/A,FALSE,"Annl Inc";#N/A,#N/A,FALSE,"Cash Flow"}</definedName>
    <definedName name="wrn.Accounts._.and._.Assumptions.">{"S&amp;U",#N/A,FALSE,"s&amp;u";"financing",#N/A,FALSE,"Input";"financing2",#N/A,FALSE,"Input";"Balance Sheet",#N/A,FALSE,"BS";"P&amp;L",#N/A,FALSE,"P&amp;L";"Cashflow",#N/A,FALSE,"CF"}</definedName>
    <definedName name="wrn.ALL.">{#N/A,#N/A,FALSE,"DCF";#N/A,#N/A,FALSE,"WACC";#N/A,#N/A,FALSE,"Sales_EBIT";#N/A,#N/A,FALSE,"Capex_Depreciation";#N/A,#N/A,FALSE,"WC";#N/A,#N/A,FALSE,"Interest";#N/A,#N/A,FALSE,"Assumptions"}</definedName>
    <definedName name="wrn.Complete._.Report.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venants.">{"Covenants",#N/A,FALSE,"Covs";"quarterly covenants",#N/A,FALSE,"Covs";"quarterly projections",#N/A,FALSE,"Covs"}</definedName>
    <definedName name="wrn.dcf.">{"mgmt forecast",#N/A,FALSE,"Mgmt Forecast";"dcf table",#N/A,FALSE,"Mgmt Forecast";"sensitivity",#N/A,FALSE,"Mgmt Forecast";"table inputs",#N/A,FALSE,"Mgmt Forecast";"calculations",#N/A,FALSE,"Mgmt Forecast"}</definedName>
    <definedName name="wrn.DCFEpervier.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Earnings._.Model.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forecast.">{#N/A,#N/A,FALSE,"model"}</definedName>
    <definedName name="wrn.forecast2">{#N/A,#N/A,FALSE,"model"}</definedName>
    <definedName name="wrn.forecastassumptions.">{#N/A,#N/A,FALSE,"model"}</definedName>
    <definedName name="wrn.forecastassumptions2">{#N/A,#N/A,FALSE,"model"}</definedName>
    <definedName name="wrn.forecastROIC.">{#N/A,#N/A,FALSE,"model"}</definedName>
    <definedName name="wrn.forecastROIC2">{#N/A,#N/A,FALSE,"model"}</definedName>
    <definedName name="wrn.Full.">{"front",#N/A,FALSE,"Cover";"S&amp;U",#N/A,FALSE,"s&amp;u";"financing",#N/A,FALSE,"Input";"financing2",#N/A,FALSE,"Input";"Ratios",#N/A,FALSE,"Ratios";"P&amp;L",#N/A,FALSE,"P&amp;L";"Cashflow",#N/A,FALSE,"CF";"Balance Sheet",#N/A,FALSE,"BS";"Exit Cap",#N/A,FALSE,"Rets";"Returns",#N/A,FALSE,"Rets";"Covenants",#N/A,FALSE,"Covs";"input1",#N/A,FALSE,"Input";"input2",#N/A,FALSE,"Input";"input3",#N/A,FALSE,"Input";"graph",#N/A,FALSE,"Graphs"}</definedName>
    <definedName name="wrn.Full._.Print.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wrn.handout.">{"quarterly",#N/A,FALSE,"Income Statement New CPB";"annual",#N/A,FALSE,"Income Statement New CPB";"cash flow",#N/A,FALSE,"Cash Flow";"balance",#N/A,FALSE,"Balance Sheet";"seg",#N/A,FALSE,"New Segment Breakout"}</definedName>
    <definedName name="wrn.history.">{#N/A,#N/A,FALSE,"model"}</definedName>
    <definedName name="wrn.history2">{#N/A,#N/A,FALSE,"model"}</definedName>
    <definedName name="wrn.histROIC.">{#N/A,#N/A,FALSE,"model"}</definedName>
    <definedName name="wrn.histROIC2">{#N/A,#N/A,FALSE,"model"}</definedName>
    <definedName name="wrn.market._.share.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wrn.Print_model.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.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wrn.print._.graphs.">{"cap_structure",#N/A,FALSE,"Graph-Mkt Cap";"price",#N/A,FALSE,"Graph-Price";"ebit",#N/A,FALSE,"Graph-EBITDA";"ebitda",#N/A,FALSE,"Graph-EBITDA"}</definedName>
    <definedName name="wrn.print._.raw._.data._.entry.">{"inputs raw data",#N/A,TRUE,"INPUT"}</definedName>
    <definedName name="wrn.print._.summary._.sheets.">{"summary1",#N/A,TRUE,"Comps";"summary2",#N/A,TRUE,"Comps";"summary3",#N/A,TRUE,"Comps"}</definedName>
    <definedName name="wrn.Short._.Print.">{#N/A,#N/A,FALSE,"Summary";#N/A,#N/A,FALSE,"Returns";#N/A,#N/A,FALSE,"Opening BS";#N/A,#N/A,FALSE,"EMO";#N/A,#N/A,FALSE,"BS";#N/A,#N/A,FALSE,"IS";#N/A,#N/A,FALSE,"Metalworking IS";#N/A,#N/A,FALSE,"CFS";#N/A,#N/A,FALSE,"Ratios"}</definedName>
    <definedName name="wrn.Summary.">{"front",#N/A,TRUE,"Cover";"P&amp;L",#N/A,TRUE,"P&amp;L";"Balance Sheet",#N/A,TRUE,"BS";"Cashflow",#N/A,TRUE,"CF";"Exit Cap",#N/A,TRUE,"Rets";"Returns",#N/A,TRUE,"Rets";"S&amp;U",#N/A,TRUE,"s&amp;u"}</definedName>
    <definedName name="wrn1.history">{#N/A,#N/A,FALSE,"model"}</definedName>
    <definedName name="wrn3.histroic">{#N/A,#N/A,FALSE,"model"}</definedName>
    <definedName name="wvu.inputs._.raw._.data.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xx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ZZZ">{"AR",#N/A,FALSE,"ASMGTSUM";"INV",#N/A,FALSE,"ASMGTSUM";"HCCOMP",#N/A,FALSE,"ASMGTSUM";"cap.depr",#N/A,FALSE,"ASMGTSUM"}</definedName>
    <definedName name="_xlnm.Print_Area" localSheetId="1">'Cover sheet'!$B$2:$U$44</definedName>
    <definedName name="_xlnm.Print_Area" localSheetId="3">'Assumptions'!$B$2:$L$25</definedName>
    <definedName name="_bdm.1CEE895BAA7B41D59F88EC619FDEF041.edm" localSheetId="5" hidden="1">#REF!</definedName>
    <definedName name="_bdm.228191AD795C44C3B2C1D29851BA6B5A.edm" localSheetId="5" hidden="1">' Financials'!$1:$1048576</definedName>
    <definedName name="_bdm.5517df198ca9484c9e35b3878cf17a8e.edm" localSheetId="5" hidden="1">' Financials'!#REF!</definedName>
    <definedName name="_bdm.609C5E0B40C34CEC83463B2CED066A56.edm" localSheetId="5" hidden="1">#REF!</definedName>
    <definedName name="_bdm.6DE9FD41CF0248559D918CB423239EC7.edm" localSheetId="5" hidden="1">#REF!</definedName>
    <definedName name="_bdm.B028FC28E4054953B61282121BB0749D.edm" localSheetId="5" hidden="1">#REF!</definedName>
    <definedName name="_bdm.BA7DF401FF66448AB626C492D77D0998.edm" localSheetId="5" hidden="1">#REF!</definedName>
    <definedName name="_bdm.c517996dc1c34e9a9e03e0d7b68ed7ad.edm" localSheetId="5" hidden="1">' Financials'!#REF!</definedName>
    <definedName name="_bdm.D51DF457840D4146B534F29F484627FC.edm" localSheetId="5" hidden="1">' Financials'!#REF!</definedName>
    <definedName name="_bdm.D537BEABC8504CB086955292FC36C894.edm" localSheetId="5" hidden="1">' Financials'!#REF!</definedName>
    <definedName name="_bdm.D62A5529011B4AA59DA7E2E0D578E7E6.edm" localSheetId="5" hidden="1">#REF!</definedName>
    <definedName name="_bdm.ECE3A4A48F9A4CF5BC55AE82B22A40AE.edm" localSheetId="5" hidden="1">' Financials'!#REF!</definedName>
    <definedName name="BRAZIL_CASE" localSheetId="5">#REF!</definedName>
    <definedName name="FX_CASE_1" localSheetId="5">#REF!</definedName>
    <definedName name="FX_CASE_2" localSheetId="5">#REF!</definedName>
    <definedName name="MEXICO_CASE" localSheetId="5">#REF!</definedName>
    <definedName name="range_16" localSheetId="5">#REF!</definedName>
    <definedName name="range_17" localSheetId="5">#REF!</definedName>
    <definedName name="range_18" localSheetId="5">#REF!</definedName>
    <definedName name="Range_Financials" localSheetId="5">' Financials'!#REF!</definedName>
    <definedName name="S1_BUYBACK_CASE" localSheetId="5">#REF!</definedName>
    <definedName name="S1_CRSO_CASE" localSheetId="5">#REF!</definedName>
    <definedName name="S1_EQUITY_RAISE_METHOD" localSheetId="5">#REF!</definedName>
    <definedName name="S1_RATINGS_CASE" localSheetId="5">#REF!</definedName>
    <definedName name="S1_WINECO_CASE" localSheetId="5">#REF!</definedName>
    <definedName name="S2_BUYBACK_CASE" localSheetId="5">#REF!</definedName>
    <definedName name="S2_EQUITY_RAISE_METHOD" localSheetId="5">#REF!</definedName>
    <definedName name="S2_RATINGS_CASE" localSheetId="5">#REF!</definedName>
    <definedName name="S3_EQUITY_RAISE_METHOD" localSheetId="5">#REF!</definedName>
    <definedName name="SAB_FINS_CASE" localSheetId="5">#REF!</definedName>
    <definedName name="SAB_SP" localSheetId="5">#REF!</definedName>
    <definedName name="SYNERGIES_CASE" localSheetId="5">#REF!</definedName>
    <definedName name="_xlnm.Print_Area" localSheetId="5">' Financials'!$B$2:$W$80</definedName>
    <definedName name="_bdm.FF6CFCDC65EC4615A9B67519CC6F83BE.edm" localSheetId="6" hidden="1">'DCF input'!$F$7</definedName>
    <definedName name="_xlnm.Print_Area" localSheetId="6">'DCF input'!$B$2:$U$128</definedName>
    <definedName name="_bdm.45b361867be14c0dba121ee1c7f48795.edm" localSheetId="7" hidden="1">'DCF output'!$C$5:$T$43</definedName>
    <definedName name="_bdm.8a6fdb4ee49643ad8ecd6d785b48d69f.edm" localSheetId="7" hidden="1">'DCF output'!$C$5:$T$44</definedName>
    <definedName name="_bdm.a3273f3667cf46cab65880b67bebb0c4.edm" localSheetId="7" hidden="1">'DCF output'!$B$4:$U$44</definedName>
    <definedName name="_bdm.c5f000e80d6041afaf6f162acd101e00.edm" localSheetId="7" hidden="1">'DCF output'!$C$7:$T$43</definedName>
  </definedNames>
  <calcPr calcId="191029" fullCalcOnLoad="1" iterate="1"/>
</workbook>
</file>

<file path=xl/styles.xml><?xml version="1.0" encoding="utf-8"?>
<styleSheet xmlns="http://schemas.openxmlformats.org/spreadsheetml/2006/main">
  <numFmts count="196">
    <numFmt numFmtId="164" formatCode="#,##0.0_);\(#,##0.0\)"/>
    <numFmt numFmtId="165" formatCode="0.0%;\(0.0%\)"/>
    <numFmt numFmtId="166" formatCode="yyyy&quot;E&quot;"/>
    <numFmt numFmtId="167" formatCode="yyyy&quot;A&quot;"/>
    <numFmt numFmtId="168" formatCode="0.0%"/>
    <numFmt numFmtId="169" formatCode="0.0%_);\(0.0%\);0.0%_);@_)"/>
    <numFmt numFmtId="170" formatCode="#,##0.0_);\(#,##0.0\);#,##0.0_);@_)"/>
    <numFmt numFmtId="171" formatCode="#,##0_);\(#,##0\);@_)"/>
    <numFmt numFmtId="172" formatCode="0.0\x_);\(0.0\x\);0.0\x_);@_)"/>
    <numFmt numFmtId="173" formatCode="#,##0.0_);\(#,##0.0\);&quot;-  &quot;;@_)"/>
    <numFmt numFmtId="174" formatCode="#,##0.00_);\(#,##0.00\);#,##0.00_);@_)"/>
    <numFmt numFmtId="175" formatCode="0.00%_);\(0.00%\);0.00%_);@_)"/>
    <numFmt numFmtId="176" formatCode="#,##0.0"/>
    <numFmt numFmtId="177" formatCode="#,##0.00;\(#,##0.00\);\-"/>
    <numFmt numFmtId="178" formatCode="yyyy\A"/>
    <numFmt numFmtId="179" formatCode="_(* #,##0.0_);_(* \(#,##0.0\);_(* &quot;-&quot;??_);_(@_)"/>
    <numFmt numFmtId="180" formatCode="#,###_);\(#,###\)"/>
    <numFmt numFmtId="181" formatCode="#,##0.0_);\(#,##0.0\);\-_);@_)"/>
    <numFmt numFmtId="182" formatCode="0.0_)"/>
    <numFmt numFmtId="183" formatCode="_(* #,##0.00000_);_(* \(#,##0.00000\);_(* &quot;-&quot;??_);_(@_)"/>
    <numFmt numFmtId="184" formatCode="#.##000"/>
    <numFmt numFmtId="185" formatCode="\$#,#00"/>
    <numFmt numFmtId="186" formatCode="#,##0;\(#,##0\)"/>
    <numFmt numFmtId="187" formatCode=";;;"/>
    <numFmt numFmtId="188" formatCode="mmmddyyyy"/>
    <numFmt numFmtId="189" formatCode="_(* #,##0.000_);_(* \(#,##0.000\);_(* &quot;-&quot;??_);_(@_)"/>
    <numFmt numFmtId="190" formatCode="0.0000"/>
    <numFmt numFmtId="191" formatCode="#,##0.00_)&quot;x&quot;;[Red]\(#,##0.00\)&quot;x&quot;"/>
    <numFmt numFmtId="192" formatCode="&quot;$&quot;_(#,##0.00_);&quot;$&quot;\(#,##0.00\)"/>
    <numFmt numFmtId="193" formatCode="_(&quot;€&quot;* #,##0.0000_);_(&quot;€&quot;* \(#,##0.0000\);_(&quot;€&quot;* &quot;-&quot;??_);_(@_)"/>
    <numFmt numFmtId="194" formatCode="&quot;€&quot;#,##0.00"/>
    <numFmt numFmtId="195" formatCode="mmm\-d\-yy"/>
    <numFmt numFmtId="196" formatCode="_(&quot;€&quot;* #,##0.00_);_(&quot;€&quot;* \(#,##0.00\);_(&quot;€&quot;* &quot;-&quot;??_);_(@_)"/>
    <numFmt numFmtId="197" formatCode="#,##0.0;\(#,##0.0\)"/>
    <numFmt numFmtId="198" formatCode="0.0"/>
    <numFmt numFmtId="199" formatCode="0.000%;[Red]\(0.000%\)"/>
    <numFmt numFmtId="200" formatCode="_(* #,##0_);_(* \(#,##0\)"/>
    <numFmt numFmtId="201" formatCode="0.000%;;&quot;-- &quot;"/>
    <numFmt numFmtId="202" formatCode="#,##0.0_)\x;\(#,##0.0\)\x"/>
    <numFmt numFmtId="203" formatCode="#,##0_)\x;\(#,##0\)\x;0_)\x;@_)_x"/>
    <numFmt numFmtId="204" formatCode="%#,#00"/>
    <numFmt numFmtId="205" formatCode="0.0&quot;%&quot;_;\(0.0\)&quot;%&quot;"/>
    <numFmt numFmtId="206" formatCode="#,##0.0_)_x;\(#,##0.0\)_x"/>
    <numFmt numFmtId="207" formatCode="#,##0_)_x;\(#,##0\)_x;0_)_x;@_)_x"/>
    <numFmt numFmtId="208" formatCode="#,"/>
    <numFmt numFmtId="209" formatCode="#,##0.00\p;\(#,##0.00\p\)"/>
    <numFmt numFmtId="210" formatCode="_-* #,##0.00\ [$€-1]_-;\-* #,##0.00\ [$€-1]_-;_-* &quot;-&quot;??\ [$€-1]_-"/>
    <numFmt numFmtId="211" formatCode="0.0&quot;%&quot;;\(0.0\)&quot;%&quot;"/>
    <numFmt numFmtId="212" formatCode="#,##0;[Red]&quot;-&quot;#,##0"/>
    <numFmt numFmtId="213" formatCode="\£#,##0.0;\(\£#,##0.0\);\£#,##0.0"/>
    <numFmt numFmtId="214" formatCode="0.0_)\%;\(0.0\)\%"/>
    <numFmt numFmtId="215" formatCode="#,##0.0_)_%;\(#,##0.0\)_%"/>
    <numFmt numFmtId="216" formatCode="#,##0;\(#,##0\);&quot;-&quot;"/>
    <numFmt numFmtId="217" formatCode="0.0_);\(0.0\)"/>
    <numFmt numFmtId="218" formatCode="_(&quot;€&quot;* #,##0_);_(&quot;€&quot;* \(#,##0\);_(&quot;€&quot;* &quot;-&quot;_);_(@_)"/>
    <numFmt numFmtId="219" formatCode="&quot;$&quot;#.#"/>
    <numFmt numFmtId="220" formatCode="\£\ #,##0_);[Red]\(\£\ #,##0\)"/>
    <numFmt numFmtId="221" formatCode="\¥\ #,##0_);[Red]\(\¥\ #,##0\)"/>
    <numFmt numFmtId="222" formatCode="#,##0.0&quot;¢&quot;;\-#,##0.0&quot;¢&quot;"/>
    <numFmt numFmtId="223" formatCode="#,##0.0_);[Red]\(#,##0.0\)"/>
    <numFmt numFmtId="224" formatCode="\•\ \ @"/>
    <numFmt numFmtId="225" formatCode="\ \ _•\–\ \ \ \ @"/>
    <numFmt numFmtId="226" formatCode="0.000_)"/>
    <numFmt numFmtId="227" formatCode="0.000%"/>
    <numFmt numFmtId="228" formatCode="_(\£* #,##0_);_(\£* \(#,##0\);_(\£* &quot;-&quot;_);_(@_)"/>
    <numFmt numFmtId="229" formatCode="_(\£* #,##0.0_);_(\£* \(#,##0.0\);_(\£* &quot;-&quot;_);_(@_)"/>
    <numFmt numFmtId="230" formatCode="_(\£* #,##0.00_);_(\£* \(#,##0.00\);_(\£* &quot;-&quot;_);_(@_)"/>
    <numFmt numFmtId="231" formatCode="_(* #,##0\p_);_(* \(#,##0\p\);_(* &quot;-&quot;\ \p_);_(@_)"/>
    <numFmt numFmtId="232" formatCode="_(* #,##0.00\p_);_(* \(#,##0.00\p\);_(* &quot;-&quot;\ \p_);_(@_)"/>
    <numFmt numFmtId="233" formatCode="\£#,##0.00"/>
    <numFmt numFmtId="234" formatCode="#,##0.00\x;\(#,##0.00\)\x"/>
    <numFmt numFmtId="235" formatCode="0_);\(0\)"/>
    <numFmt numFmtId="236" formatCode="#,##0_);[Red]\(#,##0\);&quot;--  &quot;"/>
    <numFmt numFmtId="237" formatCode="0.0%;[Red]\(0.0%\);&quot;--  &quot;"/>
    <numFmt numFmtId="238" formatCode="&quot;Esc &quot;#,##0\ \b\n;\(#,##0\)"/>
    <numFmt numFmtId="239" formatCode="&quot;$&quot;#,##0.00&quot;A&quot;;[Red]\(&quot;$&quot;#,##0.00\)&quot;A&quot;"/>
    <numFmt numFmtId="240" formatCode="&quot;$&quot;#,##0.00&quot;E&quot;;[Red]\(&quot;$&quot;#,##0.00\)&quot;E&quot;"/>
    <numFmt numFmtId="241" formatCode="&quot;$&quot;#,##0.00000000000000000000000000_);[Red]\(&quot;$&quot;#,##0.00000000000000000000000000\)"/>
    <numFmt numFmtId="242" formatCode="_-[$€]* #,##0.00_-;\-[$€]* #,##0.00_-;_-[$€]* &quot;-&quot;??_-;_-@_-"/>
    <numFmt numFmtId="243" formatCode="#,##0;\(#,##0\);\—"/>
    <numFmt numFmtId="244" formatCode="#,##0.000_);\(#,##0.000\)"/>
    <numFmt numFmtId="245" formatCode="_(* #,##0_);_(* \(#,##0\);_(* &quot;-&quot;??_);_(@_)"/>
    <numFmt numFmtId="246" formatCode="#,##0.0;[Red]\(#,##0.0\)"/>
    <numFmt numFmtId="247" formatCode="#,##0.0000_);\(#,##0.0000\);@_)"/>
    <numFmt numFmtId="248" formatCode="#,##0_);\(#,##0\);\-_)"/>
    <numFmt numFmtId="249" formatCode="#,##0_);\(#,##0\);0_)"/>
    <numFmt numFmtId="250" formatCode="#,##0.0000000000;\(#,##0.0000000000\)"/>
    <numFmt numFmtId="251" formatCode="#,##0.0_);\(#,##0.0\);0.0_)"/>
    <numFmt numFmtId="252" formatCode="_-&quot;kb/d&quot;* #,##0.00_-;\-&quot;kb/d&quot;* #,##0.00_-;_-&quot;k/bd&quot;* &quot;-&quot;??_-;_-@_-"/>
    <numFmt numFmtId="253" formatCode="###0_);\(###0\);\-_);@_)"/>
    <numFmt numFmtId="254" formatCode="#,##0.0&quot;x&quot;;\(#,##0.0&quot;x&quot;\)"/>
    <numFmt numFmtId="255" formatCode="#,##0_);\(#,##0\);\-_);@_)"/>
    <numFmt numFmtId="256" formatCode="0.0%;\(0.0\)%;\—\%"/>
    <numFmt numFmtId="257" formatCode="0_)"/>
    <numFmt numFmtId="258" formatCode="\$#,##0;\(\$#,##0\);\-\ 0\ \-;[Red]@"/>
    <numFmt numFmtId="259" formatCode="0.00_);\(0.00\)"/>
    <numFmt numFmtId="260" formatCode="&quot;£&quot;#,##0_);&quot;£&quot;\(#,##0\);&quot;£&quot;#,##0_);@_)"/>
    <numFmt numFmtId="261" formatCode="#,##0.0;\(#,##0.0\);&quot;OK&quot;"/>
    <numFmt numFmtId="262" formatCode="0&quot; bp&quot;"/>
    <numFmt numFmtId="263" formatCode="_-* #,##0\ &quot;Pts&quot;_-;\-* #,##0\ &quot;Pts&quot;_-;_-* &quot;-&quot;\ &quot;Pts&quot;_-;_-@_-"/>
    <numFmt numFmtId="264" formatCode="_-* #,##0\ _P_t_s_-;\-* #,##0\ _P_t_s_-;_-* &quot;-&quot;\ _P_t_s_-;_-@_-"/>
    <numFmt numFmtId="265" formatCode="_-* #,##0.00\ &quot;Pts&quot;_-;\-* #,##0.00\ &quot;Pts&quot;_-;_-* &quot;-&quot;??\ &quot;Pts&quot;_-;_-@_-"/>
    <numFmt numFmtId="266" formatCode="&quot;Proj &quot;0;;"/>
    <numFmt numFmtId="267" formatCode="#,##0.000"/>
    <numFmt numFmtId="268" formatCode="&quot;£ &quot;#,##0.00;[Red]\(&quot;£ &quot;#,##0.00\);&quot;--  &quot;;_(@_)"/>
    <numFmt numFmtId="269" formatCode="#,##0.0%_);\(#,##0.0%\)"/>
    <numFmt numFmtId="270" formatCode="#\ ##0.0"/>
    <numFmt numFmtId="271" formatCode="#,##0_);\(#,##0\);&quot;-&quot;?"/>
    <numFmt numFmtId="272" formatCode="#,##0.00_);\(#,##0.00\);&quot;-&quot;?"/>
    <numFmt numFmtId="273" formatCode="#,##0.00&quot;x&quot;;[Red]\(#,##0.00&quot;x&quot;\)"/>
    <numFmt numFmtId="274" formatCode="_-* #,##0_-;\-* #,##0_-;_-* &quot;-&quot;??_-;_-@_-"/>
    <numFmt numFmtId="275" formatCode="0.0\x"/>
    <numFmt numFmtId="276" formatCode="#,##0.00_);\(#,##0.00\);0.00_)"/>
    <numFmt numFmtId="277" formatCode="General_)"/>
    <numFmt numFmtId="278" formatCode="&quot;$&quot;#,##0.00_);[Red]\(&quot;$&quot;#,##0.00\);&quot;--  &quot;;_(@_)"/>
    <numFmt numFmtId="279" formatCode="&quot;€&quot;#,##0.00_);\(&quot;€&quot;#,##0.00\)"/>
    <numFmt numFmtId="280" formatCode="0.0%_);\(0.0%\)"/>
    <numFmt numFmtId="281" formatCode="&quot;EUR &quot;#,##0.0_);\(&quot;EUR &quot;#,##0.0\)"/>
    <numFmt numFmtId="282" formatCode="0.0%_);[Red]\(0.0%\)"/>
    <numFmt numFmtId="283" formatCode="_-\€* #,##0_-;\-&quot;£&quot;* #,##0_-;_-&quot;£&quot;* &quot;-&quot;_-;_-@_-"/>
    <numFmt numFmtId="284" formatCode="_-* #,##0.00\ _P_t_s_-;\-* #,##0.00\ _P_t_s_-;_-* &quot;-&quot;??\ _P_t_s_-;_-@_-"/>
    <numFmt numFmtId="285" formatCode="###0_);\(###0\);"/>
    <numFmt numFmtId="286" formatCode="_ * #,##0.00_-\ &quot;€&quot;_ ;_ * #,##0.00\-\ &quot;€&quot;_ ;_ * &quot;-&quot;??_-\ &quot;€&quot;_ ;_ @_ "/>
    <numFmt numFmtId="287" formatCode="0&quot;E&quot;"/>
    <numFmt numFmtId="288" formatCode="#,##0.00_x"/>
    <numFmt numFmtId="289" formatCode="&quot;$&quot;#\ ?/?"/>
    <numFmt numFmtId="290" formatCode="0&quot; mos&quot;"/>
    <numFmt numFmtId="291" formatCode="mmm\-d\-yyyy"/>
    <numFmt numFmtId="292" formatCode="mmm\-yyyy"/>
    <numFmt numFmtId="293" formatCode="0_);\(0\);\-_);@_)"/>
    <numFmt numFmtId="294" formatCode="_-* #,##0.00\ _F_-;\-* #,##0.00\ _F_-;_-* &quot;-&quot;??\ _F_-;_-@_-"/>
    <numFmt numFmtId="295" formatCode="0.00%;[Red]\ \(0.00%\)"/>
    <numFmt numFmtId="296" formatCode="0\ &quot;mos&quot;"/>
    <numFmt numFmtId="297" formatCode="0_);[Red]\(0\)"/>
    <numFmt numFmtId="298" formatCode="0.000"/>
    <numFmt numFmtId="299" formatCode="&quot;$&quot;#,##0.0;[Red]\(&quot;$&quot;#,##0.0\)"/>
    <numFmt numFmtId="300" formatCode="\$#,##0_);\$\(#,##0\);_-* &quot;--&quot;_-;_-@_-"/>
    <numFmt numFmtId="301" formatCode="\$#,##0.0_);\$\(#,##0.0\);_-* &quot;--&quot;_-;_-@_-"/>
    <numFmt numFmtId="302" formatCode="#,##0.0,_);\(#,##0.0,\)"/>
    <numFmt numFmtId="303" formatCode="#,##0.0_);\(#,##0.0\);@*."/>
    <numFmt numFmtId="304" formatCode="#,#00"/>
    <numFmt numFmtId="305" formatCode="0.0&quot;x&quot;;@_)"/>
    <numFmt numFmtId="306" formatCode="#,##0.0%_);\(#,##0.0%\);0.0%_)"/>
    <numFmt numFmtId="307" formatCode="#,##0.000000"/>
    <numFmt numFmtId="308" formatCode="0.0%;[Red]\(0.0%\)"/>
    <numFmt numFmtId="309" formatCode="0.00%;\(0.00%\)"/>
    <numFmt numFmtId="310" formatCode="#,##0.00_)\ \x;\(#,##0.00\)\ \x"/>
    <numFmt numFmtId="311" formatCode="&quot;$&quot;#,##0.00;[Red]&quot;$&quot;\-#,##0.00"/>
    <numFmt numFmtId="312" formatCode="0.00\x"/>
    <numFmt numFmtId="313" formatCode="&quot;Proj &quot;0"/>
    <numFmt numFmtId="314" formatCode="#,##0.0%;\(#,##0.0%\)"/>
    <numFmt numFmtId="315" formatCode="#,##0.00;\(#,##0.00\)"/>
    <numFmt numFmtId="316" formatCode="#,##0;[Red]\(#,##0\)"/>
    <numFmt numFmtId="317" formatCode="_ \ * #,##0.0_);_ \ * \(#,##0.0\)"/>
    <numFmt numFmtId="318" formatCode="0.0%;[Red]\ \(0.0%\)"/>
    <numFmt numFmtId="319" formatCode="_-* #,##0.00\ _D_M_-;\-* #,##0.00\ _D_M_-;_-* &quot;-&quot;??\ _D_M_-;_-@_-"/>
    <numFmt numFmtId="320" formatCode="&quot;$&quot;#,##0.0_);\(&quot;$&quot;#,##0.0\)"/>
    <numFmt numFmtId="321" formatCode="#,##0.0,,_);\(#,##0.0,,\)"/>
    <numFmt numFmtId="322" formatCode="#,##0.0\x_);\(#,##0.0\x\)"/>
    <numFmt numFmtId="323" formatCode="#,##0%_);\(#,##0%\)"/>
    <numFmt numFmtId="324" formatCode="&quot;$&quot;#,##0.000_);[Red]\(&quot;$&quot;#,##0.000\);&quot;--  &quot;;_(@_)"/>
    <numFmt numFmtId="325" formatCode="_(* #,##0\ \x_);_(* \(#,##0\ \x\);_(* &quot;-&quot;??_);_(@_)"/>
    <numFmt numFmtId="326" formatCode="_(&quot;£&quot;* #,##0_);_(&quot;£&quot;* \(#,##0\);_(&quot;£&quot;* &quot;-&quot;_);_(@_)"/>
    <numFmt numFmtId="327" formatCode="m/d/yy"/>
    <numFmt numFmtId="328" formatCode="&quot;$&quot;_(#,##0.00_);&quot;$&quot;\(#,##0.00\);&quot;$&quot;_(0.00_);@_)"/>
    <numFmt numFmtId="329" formatCode="0.0%_);\(0.0%\);\ \-\-\ "/>
    <numFmt numFmtId="330" formatCode="#,##0.00_);\(#,##0.00\);0.00_);@_)"/>
    <numFmt numFmtId="331" formatCode="&quot;£&quot;_(#,##0.00_);&quot;£&quot;\(#,##0.00\)"/>
    <numFmt numFmtId="332" formatCode="_-* #,##0.00_-;\-* #,##0.00_-;_-* &quot;-&quot;??_-;_-@_-"/>
    <numFmt numFmtId="333" formatCode="0.00&quot;      &quot;"/>
    <numFmt numFmtId="334" formatCode="\€_(#,##0.00_);\€\(#,##0.00\);\€_(0.00_);@_)"/>
    <numFmt numFmtId="335" formatCode="&quot;€&quot;_(#,##0.00_);&quot;€&quot;\(#,##0.00\);&quot;€&quot;_(0.00_);@_)"/>
    <numFmt numFmtId="336" formatCode="#,##0.0000;\-#,##0.0000"/>
    <numFmt numFmtId="337" formatCode="_(* #,##0.000_)\ \ ;_(* \(#,##0.000\)\ \ ;_(* &quot;-&quot;??_)\ \ ;_(@_)"/>
    <numFmt numFmtId="338" formatCode="###0&quot;A&quot;"/>
    <numFmt numFmtId="339" formatCode="#,##0.00000;\-#,##0.00000"/>
    <numFmt numFmtId="340" formatCode="0.0&quot;x&quot;\ \ \ \ "/>
    <numFmt numFmtId="341" formatCode="#,##0\ _F;\(#,##0\)\ _F;\-\ _F"/>
    <numFmt numFmtId="342" formatCode="#,##0;\(###0\);\-"/>
    <numFmt numFmtId="343" formatCode="_(* #,##0.0_)\ \ ;_(* \(#,##0.0\)\ \ ;_(* &quot;-&quot;??_)\ \ ;_(@_)"/>
    <numFmt numFmtId="344" formatCode="#,##0\ _F;\(#,##0\)\ _F"/>
    <numFmt numFmtId="345" formatCode="0%_);\(0%\);\ \-\-\ "/>
    <numFmt numFmtId="346" formatCode="&quot;F&quot;#,##0_);\(&quot;F&quot;#,##0\)"/>
    <numFmt numFmtId="347" formatCode="#,##0_)"/>
    <numFmt numFmtId="348" formatCode="0&quot;A&quot;"/>
    <numFmt numFmtId="349" formatCode="0\A"/>
    <numFmt numFmtId="350" formatCode="0.00%&quot; Stock Pooling&quot;"/>
    <numFmt numFmtId="351" formatCode="#,##0_);\(#,##0\);\-_);"/>
    <numFmt numFmtId="352" formatCode="###0.0;\(###0.0\)"/>
    <numFmt numFmtId="353" formatCode="0\ \ ;\(0\)\ \ \ "/>
    <numFmt numFmtId="354" formatCode="_-* #,##0.0\ _F_-;\-* #,##0.0\ _F_-;_-* &quot;-&quot;?\ _F_-;_-@_-"/>
    <numFmt numFmtId="355" formatCode="&quot;$&quot;#,##0.00_)_x_x_x;\(&quot;$&quot;#,##0.00\)_x_x_x"/>
    <numFmt numFmtId="356" formatCode="_-* #,##0.00\ &quot;F&quot;_-;\-* #,##0.00\ &quot;F&quot;_-;_-* &quot;-&quot;??\ &quot;F&quot;_-;_-@_-"/>
    <numFmt numFmtId="357" formatCode="###0.0_);\(###0.0\)"/>
    <numFmt numFmtId="358" formatCode="\+* #,##0.00;[Red]\-* #,##0.00"/>
    <numFmt numFmtId="359" formatCode="\+* #,##0;[Red]\-* #,##0"/>
  </numFmts>
  <fonts count="345">
    <font>
      <name val="Arial"/>
      <family val="2"/>
      <color theme="1"/>
      <sz val="10"/>
    </font>
    <font>
      <name val="Arial"/>
      <family val="2"/>
      <b val="1"/>
      <color indexed="9"/>
      <sz val="10"/>
    </font>
    <font>
      <name val="Arial"/>
      <family val="2"/>
      <b val="1"/>
      <sz val="10"/>
    </font>
    <font>
      <name val="Trebuchet MS"/>
      <family val="2"/>
      <color indexed="12"/>
      <sz val="10"/>
    </font>
    <font>
      <name val="Arial"/>
      <family val="2"/>
      <sz val="8"/>
    </font>
    <font>
      <name val="Arial"/>
      <family val="2"/>
      <sz val="12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color indexed="12"/>
      <sz val="10"/>
    </font>
    <font>
      <name val="Arial"/>
      <family val="2"/>
      <i val="1"/>
      <sz val="10"/>
    </font>
    <font>
      <name val="Arial"/>
      <family val="2"/>
      <color indexed="10"/>
      <sz val="10"/>
    </font>
    <font>
      <name val="Arial"/>
      <family val="2"/>
      <color indexed="8"/>
      <sz val="15"/>
    </font>
    <font>
      <name val="Arial"/>
      <family val="2"/>
      <b val="1"/>
      <color indexed="8"/>
      <sz val="15"/>
      <u val="single"/>
    </font>
    <font>
      <name val="Arial"/>
      <family val="2"/>
      <color theme="10"/>
      <sz val="10"/>
      <u val="single"/>
    </font>
    <font>
      <name val="Arial"/>
      <family val="2"/>
      <color indexed="8"/>
      <sz val="10"/>
    </font>
    <font>
      <name val="Arial"/>
      <family val="2"/>
      <b val="1"/>
      <sz val="12"/>
    </font>
    <font>
      <name val="Arial"/>
      <family val="2"/>
      <color rgb="FF0000FF"/>
      <sz val="10"/>
    </font>
    <font>
      <name val="Arial"/>
      <family val="2"/>
      <b val="1"/>
      <color indexed="12"/>
      <sz val="10"/>
    </font>
    <font>
      <name val="Trebuchet MS"/>
      <family val="2"/>
      <b val="1"/>
      <color theme="0"/>
      <sz val="18"/>
    </font>
    <font>
      <name val="Arial"/>
      <family val="2"/>
      <b val="1"/>
      <color rgb="FFFF0000"/>
      <sz val="10"/>
    </font>
    <font>
      <name val="Trebuchet MS"/>
      <family val="2"/>
      <b val="1"/>
      <color theme="3" tint="-0.499984740745262"/>
      <sz val="14"/>
    </font>
    <font>
      <name val="Arial"/>
      <family val="2"/>
      <b val="1"/>
      <color theme="1"/>
      <sz val="10"/>
    </font>
    <font>
      <name val="Arial"/>
      <family val="2"/>
      <b val="1"/>
      <color theme="0"/>
      <sz val="10"/>
    </font>
    <font>
      <name val="Century Gothic"/>
      <family val="2"/>
      <sz val="10"/>
    </font>
    <font>
      <name val="Arial"/>
      <family val="2"/>
      <b val="1"/>
      <sz val="8"/>
    </font>
    <font>
      <name val="Arial"/>
      <family val="2"/>
      <color theme="0"/>
      <sz val="10"/>
    </font>
    <font>
      <name val="Arial"/>
      <family val="2"/>
      <color indexed="23"/>
      <sz val="10"/>
    </font>
    <font>
      <name val="Trebuchet MS"/>
      <family val="2"/>
      <sz val="10"/>
    </font>
    <font>
      <name val="Trebuchet MS"/>
      <family val="2"/>
      <b val="1"/>
      <color indexed="9"/>
      <sz val="9"/>
    </font>
    <font>
      <name val="Arial"/>
      <family val="2"/>
      <color indexed="22"/>
      <sz val="10"/>
    </font>
    <font>
      <name val="Arial"/>
      <family val="2"/>
      <b val="1"/>
      <sz val="16"/>
    </font>
    <font>
      <name val="Times New Roman"/>
      <family val="1"/>
      <color indexed="8"/>
      <sz val="12"/>
    </font>
    <font>
      <name val="Times New Roman"/>
      <family val="1"/>
      <sz val="8"/>
    </font>
    <font>
      <name val="Weiss"/>
      <sz val="12"/>
    </font>
    <font>
      <name val="Geneva"/>
      <family val="2"/>
      <sz val="10"/>
    </font>
    <font>
      <name val="Times New Roman"/>
      <family val="1"/>
      <sz val="10"/>
    </font>
    <font>
      <name val="MS Sans Serif"/>
      <family val="2"/>
      <color indexed="8"/>
      <sz val="10"/>
    </font>
    <font>
      <name val="Times New Roman"/>
      <family val="1"/>
      <color indexed="12"/>
      <sz val="12"/>
    </font>
    <font>
      <name val="Times New Roman"/>
      <family val="1"/>
      <sz val="12"/>
    </font>
    <font>
      <name val="Arial"/>
      <family val="2"/>
      <color indexed="16"/>
      <sz val="10"/>
    </font>
    <font>
      <name val="???"/>
      <charset val="129"/>
      <family val="1"/>
      <sz val="12"/>
    </font>
    <font>
      <name val="Arial"/>
      <family val="2"/>
      <b val="1"/>
      <sz val="9"/>
    </font>
    <font>
      <name val="Helv"/>
      <sz val="10"/>
    </font>
    <font>
      <name val="Arial"/>
      <family val="2"/>
      <color indexed="15"/>
      <sz val="10"/>
    </font>
    <font>
      <name val="Arial"/>
      <family val="2"/>
      <color indexed="18"/>
      <sz val="10"/>
    </font>
    <font>
      <name val="Courier"/>
      <family val="3"/>
      <sz val="10"/>
    </font>
    <font>
      <name val="False"/>
      <color indexed="9"/>
      <sz val="10"/>
    </font>
    <font>
      <name val="False"/>
      <color indexed="12"/>
      <sz val="10"/>
    </font>
    <font>
      <name val="Arial"/>
      <family val="2"/>
      <b val="1"/>
      <color indexed="18"/>
      <sz val="22"/>
    </font>
    <font>
      <name val="Arial"/>
      <family val="2"/>
      <b val="1"/>
      <color indexed="18"/>
      <sz val="14"/>
    </font>
    <font>
      <name val="Arial"/>
      <family val="2"/>
      <color indexed="8"/>
      <sz val="9"/>
    </font>
    <font>
      <name val="Arial"/>
      <family val="2"/>
      <b val="1"/>
      <color indexed="18"/>
      <sz val="10"/>
    </font>
    <font>
      <name val="Arial"/>
      <family val="2"/>
      <b val="1"/>
      <color indexed="18"/>
      <sz val="10"/>
      <u val="singleAccounting"/>
    </font>
    <font>
      <name val="Times New Roman"/>
      <family val="1"/>
      <color indexed="8"/>
      <sz val="8"/>
    </font>
    <font>
      <name val="Times New Roman"/>
      <family val="1"/>
      <color indexed="14"/>
      <sz val="8"/>
    </font>
    <font>
      <name val="Times New Roman"/>
      <family val="1"/>
      <sz val="11"/>
    </font>
    <font>
      <name val="MS Sans Serif"/>
      <family val="2"/>
      <sz val="10"/>
    </font>
    <font>
      <name val="Book Antiqua"/>
      <family val="1"/>
      <b val="1"/>
      <sz val="11"/>
    </font>
    <font>
      <name val="Arial MT"/>
      <sz val="12"/>
    </font>
    <font>
      <name val="Times New Roman"/>
      <family val="1"/>
      <b val="1"/>
      <sz val="12"/>
    </font>
    <font>
      <name val="Arial"/>
      <family val="2"/>
      <sz val="9"/>
    </font>
    <font>
      <name val="Times"/>
      <family val="1"/>
      <sz val="8"/>
    </font>
    <font>
      <name val="Helvetica"/>
      <family val="2"/>
      <color indexed="12"/>
      <sz val="10"/>
    </font>
    <font>
      <name val="Times New Roman"/>
      <family val="1"/>
      <color indexed="10"/>
      <sz val="10"/>
    </font>
    <font>
      <name val="Times New Roman"/>
      <family val="1"/>
      <b val="1"/>
      <color indexed="10"/>
      <sz val="11"/>
    </font>
    <font>
      <name val="Tahoma"/>
      <family val="2"/>
      <color indexed="9"/>
      <sz val="10"/>
    </font>
    <font>
      <name val="Book Antiqua"/>
      <family val="1"/>
      <sz val="10"/>
    </font>
    <font>
      <name val="Frutiger 55 Roman"/>
      <color indexed="36"/>
      <sz val="7"/>
      <u val="single"/>
    </font>
    <font>
      <name val="Times New Roman"/>
      <family val="1"/>
      <b val="1"/>
      <sz val="8"/>
    </font>
    <font>
      <name val="Times New Roman"/>
      <family val="1"/>
      <b val="1"/>
      <color indexed="8"/>
      <sz val="8"/>
    </font>
    <font>
      <name val="Book Antiqua"/>
      <family val="1"/>
      <color indexed="8"/>
      <sz val="10"/>
    </font>
    <font>
      <name val="Arial"/>
      <family val="2"/>
      <strike val="1"/>
      <sz val="8"/>
    </font>
    <font>
      <name val="Arial"/>
      <family val="2"/>
      <color indexed="8"/>
      <sz val="8"/>
    </font>
    <font>
      <name val="Times New Roman"/>
      <family val="1"/>
      <b val="1"/>
      <i val="1"/>
      <color indexed="9"/>
      <sz val="11"/>
    </font>
    <font>
      <name val="Times New Roman"/>
      <family val="1"/>
      <color indexed="8"/>
      <sz val="10"/>
    </font>
    <font>
      <name val="Arial"/>
      <family val="2"/>
      <b val="1"/>
      <color indexed="9"/>
      <sz val="9"/>
    </font>
    <font>
      <name val="Tms Rmn"/>
      <color indexed="12"/>
      <sz val="8"/>
    </font>
    <font>
      <name val="Times New Roman"/>
      <family val="1"/>
      <b val="1"/>
      <color indexed="12"/>
      <sz val="8"/>
    </font>
    <font>
      <name val="Arial"/>
      <family val="2"/>
      <color indexed="9"/>
      <sz val="8"/>
    </font>
    <font>
      <name val="Arial"/>
      <family val="2"/>
      <b val="1"/>
      <i val="1"/>
      <sz val="14"/>
      <u val="single"/>
    </font>
    <font>
      <name val="Arial Rounded MT Bold"/>
      <family val="2"/>
      <b val="1"/>
      <sz val="10"/>
    </font>
    <font>
      <name val="Arial"/>
      <family val="2"/>
      <b val="1"/>
      <color indexed="8"/>
      <sz val="8"/>
    </font>
    <font>
      <name val="Times New Roman"/>
      <family val="1"/>
      <b val="1"/>
      <i val="1"/>
      <sz val="12"/>
    </font>
    <font>
      <name val="Palatino"/>
      <family val="1"/>
      <b val="1"/>
      <i val="1"/>
      <sz val="9"/>
    </font>
    <font>
      <name val="Arial"/>
      <family val="2"/>
      <i val="1"/>
      <color indexed="12"/>
      <sz val="8"/>
    </font>
    <font>
      <name val="Arial"/>
      <family val="2"/>
      <b val="1"/>
      <color indexed="24"/>
      <sz val="8"/>
    </font>
    <font>
      <name val="Arial"/>
      <family val="2"/>
      <b val="1"/>
      <color indexed="24"/>
      <sz val="9"/>
    </font>
    <font>
      <name val="Arial"/>
      <family val="2"/>
      <b val="1"/>
      <color indexed="24"/>
      <sz val="11"/>
    </font>
    <font>
      <name val="Times New Roman"/>
      <family val="1"/>
      <b val="1"/>
      <color indexed="8"/>
      <sz val="10"/>
    </font>
    <font>
      <name val="Times New Roman"/>
      <family val="1"/>
      <sz val="24"/>
    </font>
    <font>
      <name val="Tms Rmn"/>
      <sz val="8"/>
    </font>
    <font>
      <name val="Times New Roman"/>
      <family val="1"/>
      <color indexed="18"/>
      <sz val="10"/>
    </font>
    <font>
      <name val="Trebuchet MS"/>
      <family val="2"/>
      <color indexed="10"/>
      <sz val="6"/>
    </font>
    <font>
      <name val="Arial"/>
      <family val="2"/>
      <color indexed="39"/>
      <sz val="8"/>
    </font>
    <font>
      <name val="Times New Roman"/>
      <family val="1"/>
      <b val="1"/>
      <sz val="11"/>
    </font>
    <font>
      <name val="Book Antiqua"/>
      <family val="1"/>
      <b val="1"/>
      <sz val="8"/>
    </font>
    <font>
      <name val="GillSans"/>
      <family val="2"/>
      <b val="1"/>
      <sz val="8"/>
    </font>
    <font>
      <name val="Helvetica-Narrow"/>
      <family val="2"/>
      <b val="1"/>
      <sz val="7"/>
    </font>
    <font>
      <name val="GillSans"/>
      <family val="2"/>
      <b val="1"/>
      <sz val="7"/>
    </font>
    <font>
      <name val="Times New Roman"/>
      <family val="1"/>
      <b val="1"/>
      <sz val="10"/>
    </font>
    <font>
      <name val="Arial"/>
      <family val="2"/>
      <color indexed="12"/>
      <sz val="11"/>
    </font>
    <font>
      <name val="Palatino"/>
      <family val="1"/>
      <b val="1"/>
      <sz val="9"/>
    </font>
    <font>
      <name val="Arial"/>
      <family val="2"/>
      <b val="1"/>
      <color indexed="18"/>
      <sz val="9"/>
    </font>
    <font>
      <name val="Tms Rmn"/>
      <family val="1"/>
      <sz val="11"/>
    </font>
    <font>
      <name val="Trebuchet MS"/>
      <family val="2"/>
      <sz val="9"/>
    </font>
    <font>
      <name val="Century Schoolbook"/>
      <family val="1"/>
      <color indexed="39"/>
      <sz val="10"/>
    </font>
    <font>
      <name val="Times New Roman"/>
      <family val="1"/>
      <color indexed="12"/>
      <sz val="8"/>
    </font>
    <font>
      <name val="Palatino"/>
      <family val="1"/>
      <sz val="8"/>
    </font>
    <font>
      <name val="Tahoma"/>
      <family val="2"/>
      <sz val="10"/>
    </font>
    <font>
      <name val="Helv"/>
      <sz val="12"/>
    </font>
    <font>
      <name val="Times New Roman"/>
      <family val="1"/>
      <b val="1"/>
      <color indexed="52"/>
      <sz val="8"/>
    </font>
    <font>
      <name val="Palatino"/>
      <family val="1"/>
      <b val="1"/>
      <color indexed="56"/>
      <sz val="14"/>
    </font>
    <font>
      <name val="Arial"/>
      <family val="2"/>
      <b val="1"/>
      <color indexed="8"/>
      <sz val="14"/>
    </font>
    <font>
      <name val="Palatino"/>
      <family val="1"/>
      <sz val="14"/>
    </font>
    <font>
      <name val="Palatino"/>
      <family val="1"/>
      <sz val="16"/>
    </font>
    <font>
      <name val="Helvetica-Black"/>
      <sz val="32"/>
    </font>
    <font>
      <name val="Arial"/>
      <family val="2"/>
      <sz val="7"/>
    </font>
    <font>
      <name val="Arial"/>
      <family val="2"/>
      <color indexed="12"/>
      <sz val="7"/>
    </font>
    <font>
      <name val="Arial"/>
      <family val="2"/>
      <color indexed="57"/>
      <sz val="10"/>
    </font>
    <font>
      <name val="Courier"/>
      <family val="3"/>
      <color indexed="8"/>
      <sz val="1"/>
    </font>
    <font>
      <name val="Times New Roman"/>
      <family val="1"/>
      <color indexed="16"/>
      <sz val="10"/>
    </font>
    <font>
      <name val="Arial"/>
      <family val="2"/>
      <sz val="10"/>
      <u val="doubleAccounting"/>
    </font>
    <font>
      <name val="HelveticaNeue Condensed"/>
      <b val="1"/>
      <i val="1"/>
      <color indexed="12"/>
      <sz val="8"/>
    </font>
    <font>
      <name val="Arial"/>
      <family val="2"/>
      <b val="1"/>
      <i val="1"/>
      <color indexed="12"/>
      <sz val="8"/>
    </font>
    <font>
      <name val="Courier"/>
      <family val="3"/>
      <b val="1"/>
      <color indexed="8"/>
      <sz val="1"/>
    </font>
    <font>
      <name val="Times New Roman"/>
      <family val="1"/>
      <color indexed="10"/>
      <sz val="8"/>
    </font>
    <font>
      <name val="Times New Roman"/>
      <family val="1"/>
      <b val="1"/>
      <sz val="9"/>
      <u val="singleAccounting"/>
    </font>
    <font>
      <name val="Times New Roman"/>
      <family val="1"/>
      <b val="1"/>
      <i val="1"/>
      <sz val="9.5"/>
    </font>
    <font>
      <name val="Times New Roman"/>
      <family val="1"/>
      <sz val="9"/>
    </font>
    <font>
      <name val="Helvetica-Black"/>
      <color indexed="23"/>
      <sz val="6"/>
    </font>
    <font>
      <name val="Helvetica-Black"/>
      <color indexed="23"/>
      <sz val="9.5"/>
    </font>
    <font>
      <name val="Palatino"/>
      <family val="1"/>
      <sz val="7"/>
    </font>
    <font>
      <name val="C Helvetica Condensed"/>
      <sz val="10"/>
    </font>
    <font>
      <name val="Times New Roman"/>
      <family val="1"/>
      <color indexed="17"/>
      <sz val="8"/>
    </font>
    <font>
      <name val="Arial"/>
      <family val="2"/>
      <color indexed="21"/>
      <sz val="8"/>
    </font>
    <font>
      <name val="Arial"/>
      <family val="2"/>
      <color indexed="48"/>
      <sz val="10"/>
    </font>
    <font>
      <name val="GillSans"/>
      <family val="2"/>
      <b val="1"/>
      <color indexed="9"/>
      <sz val="10"/>
    </font>
    <font>
      <name val="GillSans"/>
      <family val="2"/>
      <b val="1"/>
      <color indexed="8"/>
      <sz val="10"/>
    </font>
    <font>
      <name val="Palatino"/>
      <family val="1"/>
      <color indexed="16"/>
      <sz val="6"/>
    </font>
    <font>
      <name val="Palatino"/>
      <family val="1"/>
      <sz val="6"/>
    </font>
    <font>
      <name val="Helvetica-Black"/>
      <sz val="10"/>
    </font>
    <font>
      <name val="Helvetica-Black"/>
      <sz val="28"/>
    </font>
    <font>
      <name val="Palatino"/>
      <family val="1"/>
      <sz val="10"/>
    </font>
    <font>
      <name val="Palatino"/>
      <family val="1"/>
      <sz val="18"/>
    </font>
    <font>
      <name val="Palatino"/>
      <family val="1"/>
      <i val="1"/>
      <sz val="14"/>
    </font>
    <font>
      <name val="Times New Roman"/>
      <family val="1"/>
      <b val="1"/>
      <color indexed="18"/>
      <sz val="10"/>
    </font>
    <font>
      <name val="Tahoma"/>
      <family val="2"/>
      <b val="1"/>
      <color indexed="60"/>
      <sz val="10"/>
    </font>
    <font>
      <name val="Trebuchet MS"/>
      <family val="2"/>
      <b val="1"/>
      <sz val="10"/>
    </font>
    <font>
      <name val="Helvetica"/>
      <family val="2"/>
      <sz val="10"/>
    </font>
    <font>
      <name val="Arial"/>
      <family val="2"/>
      <color indexed="12"/>
      <sz val="8"/>
    </font>
    <font>
      <name val="Arial"/>
      <family val="2"/>
      <color indexed="39"/>
      <sz val="9"/>
    </font>
    <font>
      <name val="Arial"/>
      <family val="2"/>
      <color indexed="12"/>
      <sz val="9"/>
    </font>
    <font>
      <name val="Times New Roman"/>
      <family val="1"/>
      <color indexed="12"/>
      <sz val="10"/>
    </font>
    <font>
      <name val="Arial"/>
      <family val="2"/>
      <i val="1"/>
      <sz val="8"/>
    </font>
    <font>
      <name val="Arial"/>
      <family val="2"/>
      <color indexed="12"/>
      <sz val="12"/>
    </font>
    <font>
      <name val="Times New Roman"/>
      <family val="1"/>
      <b val="1"/>
      <color indexed="10"/>
      <sz val="10"/>
      <u val="single"/>
    </font>
    <font>
      <name val="Times New Roman"/>
      <family val="1"/>
      <sz val="18"/>
    </font>
    <font>
      <name val="Times New Roman"/>
      <family val="1"/>
      <b val="1"/>
      <sz val="13"/>
    </font>
    <font>
      <name val="Times New Roman"/>
      <family val="1"/>
      <i val="1"/>
      <sz val="12"/>
    </font>
    <font>
      <name val="Wingdings"/>
      <charset val="2"/>
      <b val="1"/>
      <color indexed="17"/>
      <sz val="12"/>
    </font>
    <font>
      <name val="Times New Roman"/>
      <family val="1"/>
      <sz val="28"/>
    </font>
    <font>
      <name val="Times New Roman"/>
      <family val="1"/>
      <sz val="22"/>
    </font>
    <font>
      <name val="Helvetica"/>
      <family val="2"/>
      <b val="1"/>
      <sz val="10"/>
    </font>
    <font>
      <name val="Times New Roman"/>
      <family val="1"/>
      <b val="1"/>
      <sz val="18"/>
    </font>
    <font>
      <name val="Times New Roman"/>
      <family val="1"/>
      <color indexed="18"/>
      <sz val="8"/>
    </font>
    <font>
      <name val="Times New Roman"/>
      <family val="1"/>
      <i val="1"/>
      <color indexed="16"/>
      <sz val="10"/>
    </font>
    <font>
      <name val="Small Fonts"/>
      <family val="2"/>
      <sz val="7"/>
    </font>
    <font>
      <name val="L Serifa Light"/>
      <b val="1"/>
      <sz val="12"/>
      <u val="single"/>
    </font>
    <font>
      <name val="Arial"/>
      <family val="2"/>
      <i val="1"/>
      <sz val="9"/>
    </font>
    <font>
      <name val="Arial"/>
      <family val="2"/>
      <color indexed="48"/>
      <sz val="9"/>
    </font>
    <font>
      <name val="Helv"/>
      <i val="1"/>
      <sz val="10"/>
    </font>
    <font>
      <name val="Frutiger 45 Light"/>
      <family val="2"/>
      <color indexed="8"/>
      <sz val="10"/>
    </font>
    <font>
      <name val="Tms Rmn"/>
      <i val="1"/>
      <color indexed="12"/>
      <sz val="12"/>
    </font>
    <font>
      <name val="Helvetica-Narrow"/>
      <family val="2"/>
      <color indexed="8"/>
      <sz val="10"/>
    </font>
    <font>
      <name val="Times New Roman"/>
      <family val="1"/>
      <b val="1"/>
      <sz val="26"/>
    </font>
    <font>
      <name val="Helv"/>
      <i val="1"/>
      <sz val="9"/>
    </font>
    <font>
      <name val="Times New Roman"/>
      <family val="1"/>
      <i val="1"/>
      <color indexed="12"/>
      <sz val="10"/>
    </font>
    <font>
      <name val="Times New Roman"/>
      <family val="1"/>
      <i val="1"/>
      <color indexed="8"/>
      <sz val="12"/>
    </font>
    <font>
      <name val="Helv"/>
      <sz val="8"/>
    </font>
    <font>
      <name val="Times New Roman"/>
      <family val="1"/>
      <i val="1"/>
      <sz val="10"/>
    </font>
    <font>
      <name val="Book Antiqua"/>
      <family val="1"/>
      <sz val="12"/>
    </font>
    <font>
      <name val="Times New Roman"/>
      <family val="1"/>
      <b val="1"/>
      <color indexed="18"/>
      <sz val="8"/>
    </font>
    <font>
      <name val="Times New Roman"/>
      <family val="1"/>
      <b val="1"/>
      <color indexed="8"/>
      <sz val="12"/>
    </font>
    <font>
      <name val="Times New Roman"/>
      <family val="1"/>
      <color indexed="10"/>
      <sz val="12"/>
    </font>
    <font>
      <name val="Arial"/>
      <family val="2"/>
      <b val="1"/>
      <color indexed="10"/>
      <sz val="8"/>
    </font>
    <font>
      <name val="Arial"/>
      <family val="2"/>
      <color indexed="10"/>
      <sz val="8"/>
    </font>
    <font>
      <name val="Times New Roman"/>
      <family val="1"/>
      <b val="1"/>
      <color indexed="10"/>
      <sz val="8"/>
    </font>
    <font>
      <name val="GillSans Light"/>
      <family val="2"/>
      <sz val="10"/>
    </font>
    <font>
      <name val="SWISS"/>
      <sz val="10"/>
    </font>
    <font>
      <name val="Arial"/>
      <family val="2"/>
      <b val="1"/>
      <i val="1"/>
      <sz val="10"/>
    </font>
    <font>
      <name val="Times New Roman"/>
      <family val="1"/>
      <b val="1"/>
      <color indexed="18"/>
      <sz val="11"/>
    </font>
    <font>
      <name val="Arial"/>
      <family val="2"/>
      <b val="1"/>
      <i val="1"/>
      <color indexed="18"/>
      <sz val="11"/>
    </font>
    <font>
      <name val="Arial"/>
      <family val="2"/>
      <b val="1"/>
      <color indexed="9"/>
      <sz val="11"/>
    </font>
    <font>
      <name val="Arial"/>
      <family val="2"/>
      <b val="1"/>
      <i val="1"/>
      <color indexed="9"/>
      <sz val="11"/>
    </font>
    <font>
      <name val="MS Sans Serif"/>
      <family val="2"/>
      <color indexed="18"/>
      <sz val="12"/>
    </font>
    <font>
      <name val="Times New Roman"/>
      <family val="1"/>
      <b val="1"/>
      <color indexed="9"/>
      <sz val="12"/>
    </font>
    <font>
      <name val="Arial Narrow"/>
      <family val="2"/>
      <b val="1"/>
      <color indexed="18"/>
      <sz val="11"/>
    </font>
    <font>
      <name val="Arial Narrow"/>
      <family val="2"/>
      <b val="1"/>
      <color indexed="9"/>
      <sz val="11"/>
    </font>
    <font>
      <name val="Arial"/>
      <family val="2"/>
      <color indexed="18"/>
      <sz val="11"/>
    </font>
    <font>
      <name val="Arial"/>
      <family val="2"/>
      <color indexed="56"/>
      <sz val="10"/>
    </font>
    <font>
      <name val="Times New Roman"/>
      <family val="1"/>
      <b val="1"/>
      <color indexed="18"/>
      <sz val="12"/>
    </font>
    <font>
      <name val="Arial"/>
      <family val="2"/>
      <color indexed="56"/>
      <sz val="12"/>
    </font>
    <font>
      <name val="Arial"/>
      <family val="2"/>
      <i val="1"/>
      <color indexed="56"/>
      <sz val="12"/>
    </font>
    <font>
      <name val="Arial"/>
      <family val="2"/>
      <color indexed="9"/>
      <sz val="12"/>
    </font>
    <font>
      <name val="Arial"/>
      <family val="2"/>
      <i val="1"/>
      <color indexed="9"/>
      <sz val="12"/>
    </font>
    <font>
      <name val="Arial"/>
      <family val="2"/>
      <color indexed="56"/>
      <sz val="11"/>
    </font>
    <font>
      <name val="Arial"/>
      <family val="2"/>
      <i val="1"/>
      <color indexed="56"/>
      <sz val="11"/>
    </font>
    <font>
      <name val="Arial"/>
      <family val="2"/>
      <color indexed="9"/>
      <sz val="11"/>
    </font>
    <font>
      <name val="Arial"/>
      <family val="2"/>
      <i val="1"/>
      <color indexed="9"/>
      <sz val="11"/>
    </font>
    <font>
      <name val="Arial"/>
      <family val="2"/>
      <b val="1"/>
      <color indexed="56"/>
      <sz val="11"/>
    </font>
    <font>
      <name val="Arial"/>
      <family val="2"/>
      <b val="1"/>
      <i val="1"/>
      <color indexed="56"/>
      <sz val="11"/>
    </font>
    <font>
      <name val="Times New Roman"/>
      <family val="1"/>
      <b val="1"/>
      <color indexed="9"/>
      <sz val="20"/>
    </font>
    <font>
      <name val="Arial"/>
      <family val="2"/>
      <color indexed="10"/>
      <sz val="11"/>
    </font>
    <font>
      <name val="TimesNewRomanPS"/>
      <color indexed="12"/>
      <sz val="10"/>
    </font>
    <font>
      <name val="Arial"/>
      <family val="2"/>
      <b val="1"/>
      <color indexed="56"/>
      <sz val="12"/>
    </font>
    <font>
      <name val="Times New Roman"/>
      <family val="1"/>
      <b val="1"/>
      <sz val="14"/>
    </font>
    <font>
      <name val="Arial Narrow"/>
      <family val="2"/>
      <b val="1"/>
      <sz val="14"/>
    </font>
    <font>
      <name val="TimesNewRomanPS"/>
      <sz val="10"/>
    </font>
    <font>
      <name val="Arial"/>
      <family val="2"/>
      <sz val="10"/>
      <u val="singleAccounting"/>
    </font>
    <font>
      <name val="Times New Roman"/>
      <family val="1"/>
      <sz val="11"/>
      <u val="single"/>
    </font>
    <font>
      <name val="Arial"/>
      <family val="2"/>
      <b val="1"/>
      <color indexed="16"/>
      <sz val="16"/>
    </font>
    <font>
      <name val="Palatino"/>
      <family val="1"/>
      <b val="1"/>
      <sz val="14"/>
    </font>
    <font>
      <name val="Times New Roman"/>
      <family val="1"/>
      <i val="1"/>
      <sz val="8"/>
    </font>
    <font>
      <name val="GillSans"/>
      <family val="2"/>
      <b val="1"/>
      <sz val="10"/>
    </font>
    <font>
      <name val="Helv"/>
      <b val="1"/>
      <sz val="9"/>
      <u val="single"/>
    </font>
    <font>
      <name val="Arial"/>
      <family val="2"/>
      <b val="1"/>
      <i val="1"/>
      <sz val="12"/>
    </font>
    <font>
      <name val="Arial"/>
      <family val="2"/>
      <b val="1"/>
      <color indexed="18"/>
      <sz val="12"/>
    </font>
    <font>
      <name val="Helvetica"/>
      <family val="2"/>
      <b val="1"/>
      <sz val="11"/>
      <u val="single"/>
    </font>
    <font>
      <name val="Helvetica"/>
      <family val="2"/>
      <b val="1"/>
      <sz val="12"/>
    </font>
    <font>
      <name val="Helv"/>
      <sz val="9"/>
    </font>
    <font>
      <name val="Times New Roman"/>
      <family val="1"/>
      <sz val="7.5"/>
    </font>
    <font>
      <name val="Palatino"/>
      <family val="1"/>
      <b val="1"/>
      <sz val="10"/>
    </font>
    <font>
      <name val="Arial"/>
      <family val="2"/>
      <b val="1"/>
      <sz val="7"/>
    </font>
    <font>
      <name val="Arial"/>
      <family val="2"/>
      <b val="1"/>
      <color indexed="16"/>
      <sz val="10"/>
    </font>
    <font>
      <name val="Times New Roman"/>
      <family val="1"/>
      <b val="1"/>
      <sz val="14"/>
      <u val="singleAccounting"/>
    </font>
    <font>
      <name val="Times New Roman"/>
      <family val="1"/>
      <sz val="8"/>
      <u val="single"/>
    </font>
    <font>
      <name val="Times New Roman"/>
      <family val="1"/>
      <i val="1"/>
      <sz val="14"/>
    </font>
    <font>
      <name val="Times New Roman"/>
      <family val="1"/>
      <sz val="14"/>
    </font>
    <font>
      <name val="Times New Roman"/>
      <family val="1"/>
      <b val="1"/>
      <sz val="16"/>
    </font>
    <font>
      <name val="Palatino"/>
      <family val="1"/>
      <sz val="12"/>
    </font>
    <font>
      <name val="Helvetica-Black"/>
      <sz val="11"/>
    </font>
    <font>
      <name val="Monotype Sorts"/>
      <charset val="2"/>
      <b val="1"/>
      <color indexed="12"/>
      <sz val="10"/>
    </font>
    <font>
      <name val="Helv"/>
      <b val="1"/>
      <sz val="12"/>
    </font>
    <font>
      <name val="Arial Black"/>
      <family val="2"/>
      <color indexed="9"/>
      <sz val="8"/>
    </font>
    <font>
      <name val="Times New Roman"/>
      <family val="1"/>
      <b val="1"/>
      <color indexed="9"/>
      <sz val="8"/>
    </font>
    <font>
      <name val="Arial"/>
      <family val="2"/>
      <b val="1"/>
      <color indexed="60"/>
      <sz val="8"/>
    </font>
    <font>
      <name val="GillSans"/>
      <family val="2"/>
      <b val="1"/>
      <color indexed="16"/>
      <sz val="10"/>
    </font>
    <font>
      <name val="Arial"/>
      <family val="2"/>
      <b val="1"/>
      <color indexed="12"/>
      <sz val="7"/>
    </font>
    <font>
      <name val="Times New Roman"/>
      <family val="1"/>
      <i val="1"/>
      <sz val="9"/>
    </font>
    <font>
      <name val="SWISS"/>
      <b val="1"/>
      <sz val="14"/>
      <u val="single"/>
    </font>
    <font>
      <name val="Arial"/>
      <family val="2"/>
      <b val="1"/>
      <color theme="5"/>
      <sz val="10"/>
    </font>
    <font>
      <name val="Arial"/>
      <family val="2"/>
      <i val="1"/>
      <color theme="1"/>
      <sz val="10"/>
    </font>
    <font>
      <name val="Arial"/>
      <family val="2"/>
      <color theme="7" tint="0.7999816888943144"/>
      <sz val="10"/>
    </font>
    <font>
      <name val="GillSans"/>
      <family val="2"/>
      <sz val="12"/>
    </font>
    <font>
      <name val="Trebuchet MS"/>
      <family val="2"/>
      <b val="1"/>
      <color indexed="9"/>
      <sz val="10"/>
    </font>
    <font>
      <name val="Arial"/>
      <family val="2"/>
      <b val="1"/>
      <color rgb="FF000000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rial"/>
      <family val="2"/>
      <b val="1"/>
      <i val="1"/>
      <color theme="5"/>
      <sz val="10"/>
    </font>
    <font>
      <name val="Arial"/>
      <family val="2"/>
      <color theme="1"/>
      <sz val="8.199999999999999"/>
    </font>
    <font>
      <name val="Arial"/>
      <family val="2"/>
      <color theme="5"/>
      <sz val="10"/>
    </font>
    <font>
      <name val="Arial"/>
      <family val="2"/>
      <color rgb="FF000000"/>
      <sz val="10"/>
    </font>
    <font>
      <name val="Arial"/>
      <family val="2"/>
      <i val="1"/>
      <color rgb="FF000000"/>
      <sz val="10"/>
    </font>
    <font>
      <name val="Arial"/>
      <family val="2"/>
      <b val="1"/>
      <color rgb="FFFFFFFF"/>
      <sz val="10"/>
    </font>
    <font>
      <name val="Trebuchet MS"/>
      <family val="2"/>
      <b val="1"/>
      <color rgb="FFFFFFFF"/>
      <sz val="18"/>
    </font>
    <font>
      <name val="Arial"/>
      <family val="2"/>
      <color rgb="FF5BA5A3"/>
      <sz val="10"/>
    </font>
    <font>
      <name val="GillSans"/>
      <family val="2"/>
      <sz val="10"/>
    </font>
    <font>
      <name val="Helv"/>
      <family val="2"/>
      <sz val="10"/>
    </font>
    <font>
      <name val="Helv"/>
      <charset val="204"/>
      <sz val="10"/>
    </font>
    <font>
      <name val="Frutiger 45 Light"/>
      <family val="2"/>
      <sz val="8"/>
    </font>
    <font>
      <name val="Arial Narrow"/>
      <family val="2"/>
      <i val="1"/>
      <color indexed="32"/>
      <sz val="10"/>
    </font>
    <font>
      <name val="Univers"/>
      <family val="2"/>
      <sz val="8"/>
    </font>
    <font>
      <name val="Frutiger 45 Light"/>
      <family val="2"/>
      <sz val="9"/>
    </font>
    <font>
      <name val="Times New Roman"/>
      <family val="1"/>
      <color indexed="12"/>
      <sz val="8"/>
      <u val="single"/>
    </font>
    <font>
      <name val="Courier"/>
      <family val="3"/>
      <color indexed="16"/>
      <sz val="1"/>
    </font>
    <font>
      <name val="Times New Roman"/>
      <family val="1"/>
      <sz val="10"/>
      <u val="doubleAccounting"/>
    </font>
    <font>
      <name val="Arial"/>
      <family val="2"/>
      <sz val="11"/>
    </font>
    <font>
      <name val="Arial Narrow"/>
      <family val="2"/>
      <sz val="10"/>
    </font>
    <font>
      <name val="Arial Narrow"/>
      <family val="2"/>
      <b val="1"/>
      <color indexed="32"/>
      <sz val="10"/>
    </font>
    <font>
      <name val="Arial"/>
      <family val="2"/>
      <sz val="14"/>
    </font>
    <font>
      <name val="Arial"/>
      <family val="2"/>
      <b val="1"/>
      <color indexed="55"/>
      <sz val="12"/>
    </font>
    <font>
      <name val="Arial"/>
      <family val="2"/>
      <b val="1"/>
      <sz val="14"/>
    </font>
    <font>
      <name val="Arial Narrow"/>
      <family val="2"/>
      <color indexed="32"/>
      <sz val="10"/>
    </font>
    <font>
      <name val="Arial"/>
      <family val="2"/>
      <b val="1"/>
      <color indexed="32"/>
      <sz val="14"/>
    </font>
    <font>
      <name val="Arial Narrow"/>
      <family val="2"/>
      <color indexed="32"/>
      <sz val="8"/>
    </font>
    <font>
      <name val="Arial Narrow"/>
      <family val="2"/>
      <b val="1"/>
      <sz val="10"/>
    </font>
    <font>
      <name val="Arial Narrow"/>
      <family val="2"/>
      <b val="1"/>
      <i val="1"/>
      <sz val="10"/>
    </font>
    <font>
      <name val="Arial Narrow"/>
      <family val="2"/>
      <i val="1"/>
      <sz val="10"/>
    </font>
    <font>
      <name val="MS Sans Serif"/>
      <family val="2"/>
      <color indexed="17"/>
      <sz val="10"/>
    </font>
    <font>
      <name val="Courier"/>
      <family val="3"/>
      <sz val="8"/>
    </font>
    <font>
      <name val="Courier"/>
      <family val="3"/>
      <b val="1"/>
      <sz val="8"/>
    </font>
    <font>
      <name val="Courier"/>
      <family val="3"/>
      <b val="1"/>
      <sz val="10"/>
      <u val="single"/>
    </font>
    <font>
      <name val="Futura UBS Bk"/>
      <family val="2"/>
      <sz val="9"/>
    </font>
    <font>
      <name val="Arial"/>
      <family val="2"/>
      <b val="1"/>
      <color indexed="11"/>
      <sz val="10"/>
    </font>
    <font>
      <name val="Arial"/>
      <family val="2"/>
      <color theme="1"/>
      <sz val="10"/>
    </font>
    <font>
      <name val="Arial"/>
      <family val="2"/>
      <sz val="10"/>
    </font>
    <font>
      <name val="Arial"/>
      <family val="2"/>
      <i val="1"/>
      <color indexed="8"/>
      <sz val="10"/>
    </font>
    <font>
      <name val="Arial"/>
      <family val="2"/>
      <color rgb="FF008000"/>
      <sz val="10"/>
    </font>
    <font>
      <name val="Arial"/>
      <family val="2"/>
      <i val="1"/>
      <color indexed="12"/>
      <sz val="10"/>
    </font>
    <font>
      <name val="Arial"/>
      <family val="2"/>
      <i val="1"/>
      <color rgb="FF008000"/>
      <sz val="10"/>
    </font>
    <font>
      <name val="Tms Rmn"/>
      <family val="1"/>
      <sz val="8"/>
    </font>
    <font>
      <name val="Calibri"/>
      <family val="2"/>
      <color indexed="8"/>
      <sz val="11"/>
    </font>
    <font>
      <name val="Calibri"/>
      <family val="2"/>
      <color theme="1"/>
      <sz val="11"/>
      <scheme val="minor"/>
    </font>
    <font>
      <name val="Calibri"/>
      <family val="2"/>
      <color indexed="9"/>
      <sz val="11"/>
    </font>
    <font>
      <name val="Times New Roman"/>
      <family val="1"/>
      <color indexed="8"/>
      <sz val="9"/>
    </font>
    <font>
      <name val="Arial"/>
      <family val="2"/>
      <b val="1"/>
      <sz val="6"/>
    </font>
    <font>
      <name val="Helvetica"/>
      <family val="2"/>
      <sz val="9"/>
    </font>
    <font>
      <name val="Calibri"/>
      <family val="2"/>
      <color theme="0"/>
      <sz val="11"/>
      <scheme val="minor"/>
    </font>
    <font>
      <name val="Calibri"/>
      <family val="2"/>
      <color indexed="20"/>
      <sz val="11"/>
    </font>
    <font>
      <name val="Arial"/>
      <family val="2"/>
      <b val="1"/>
      <color indexed="9"/>
      <sz val="8"/>
    </font>
    <font>
      <name val="Arial"/>
      <family val="2"/>
      <b val="1"/>
      <sz val="18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Arial"/>
      <family val="2"/>
      <color indexed="12"/>
      <sz val="10"/>
      <u val="single"/>
    </font>
    <font>
      <name val="Tahoma"/>
      <family val="2"/>
      <color theme="1"/>
      <sz val="10"/>
    </font>
    <font>
      <name val="Arial"/>
      <family val="2"/>
      <color theme="1"/>
      <sz val="8"/>
    </font>
    <font>
      <name val="Helvetica"/>
      <family val="2"/>
      <sz val="8"/>
    </font>
    <font>
      <name val="MS Sans Serif"/>
      <family val="2"/>
      <sz val="24"/>
    </font>
    <font>
      <name val="Helv"/>
      <family val="2"/>
      <sz val="9"/>
    </font>
    <font>
      <name val="CG Times (WN)"/>
      <sz val="10"/>
    </font>
    <font>
      <name val="Arial"/>
      <family val="2"/>
      <b val="1"/>
      <color theme="4"/>
      <sz val="16"/>
    </font>
    <font>
      <name val="Arial"/>
      <family val="2"/>
      <b val="1"/>
      <color theme="3"/>
      <sz val="15"/>
    </font>
    <font>
      <name val="Arial"/>
      <family val="2"/>
      <color theme="0" tint="-0.499984740745262"/>
      <sz val="8"/>
    </font>
    <font>
      <name val="Arial"/>
      <family val="2"/>
      <b val="1"/>
      <color theme="0" tint="-0.499984740745262"/>
      <sz val="8"/>
    </font>
    <font>
      <name val="Arial"/>
      <family val="2"/>
      <b val="1"/>
      <color theme="2"/>
      <sz val="10"/>
    </font>
    <font>
      <name val="Trebuchet MS"/>
      <family val="2"/>
      <color indexed="12"/>
      <sz val="8"/>
    </font>
    <font>
      <name val="Arial"/>
      <family val="2"/>
      <color theme="3"/>
      <sz val="9"/>
    </font>
    <font>
      <name val="Arial"/>
      <family val="2"/>
      <i val="1"/>
      <color theme="0" tint="-0.499984740745262"/>
      <sz val="8"/>
    </font>
    <font>
      <name val="Arial"/>
      <family val="2"/>
      <color rgb="FFFFFFFF"/>
      <sz val="10"/>
    </font>
    <font>
      <name val="Arial"/>
      <family val="2"/>
      <b val="1"/>
      <color theme="3"/>
      <sz val="10"/>
    </font>
    <font>
      <name val="Arial"/>
      <family val="2"/>
      <i val="1"/>
      <color rgb="FF808080"/>
      <sz val="10"/>
    </font>
    <font>
      <name val="Arial"/>
      <family val="2"/>
      <b val="1"/>
      <color rgb="FF000000"/>
      <sz val="8"/>
    </font>
    <font>
      <name val="Arial"/>
      <family val="2"/>
      <i val="1"/>
      <color rgb="FF808080"/>
      <sz val="8"/>
    </font>
    <font>
      <name val="Arial"/>
      <family val="2"/>
      <color rgb="FF000000"/>
      <sz val="8"/>
    </font>
    <font>
      <name val="Arial"/>
      <family val="2"/>
      <i val="1"/>
      <color rgb="FF000000"/>
      <sz val="8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i val="1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sz val="11"/>
      <scheme val="minor"/>
    </font>
    <font>
      <name val="Arial"/>
      <family val="2"/>
      <color rgb="FF00B050"/>
      <sz val="10"/>
    </font>
    <font>
      <name val="Arial"/>
      <family val="2"/>
      <color rgb="FF0000E1"/>
      <sz val="8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107">
    <fill>
      <patternFill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</patternFill>
    </fill>
    <fill>
      <patternFill patternType="solid">
        <fgColor indexed="47"/>
        <bgColor indexed="64"/>
      </patternFill>
    </fill>
    <fill>
      <patternFill patternType="solid">
        <fgColor indexed="19"/>
      </patternFill>
    </fill>
    <fill>
      <patternFill patternType="solid">
        <fgColor indexed="10"/>
      </patternFill>
    </fill>
    <fill>
      <patternFill patternType="solid">
        <fgColor indexed="11"/>
      </patternFill>
    </fill>
    <fill>
      <patternFill patternType="solid">
        <fgColor indexed="13"/>
      </patternFill>
    </fill>
    <fill>
      <patternFill patternType="solid">
        <fgColor indexed="14"/>
      </patternFill>
    </fill>
    <fill>
      <patternFill patternType="solid">
        <fgColor indexed="20"/>
      </patternFill>
    </fill>
    <fill>
      <patternFill patternType="solid">
        <fgColor indexed="16"/>
      </patternFill>
    </fill>
    <fill>
      <patternFill patternType="solid">
        <fgColor indexed="9"/>
      </patternFill>
    </fill>
    <fill>
      <patternFill patternType="solid">
        <fgColor indexed="21"/>
      </patternFill>
    </fill>
    <fill>
      <patternFill patternType="solid">
        <fgColor indexed="18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47"/>
      </patternFill>
    </fill>
    <fill>
      <patternFill patternType="solid">
        <fgColor indexed="48"/>
        <bgColor indexed="64"/>
      </patternFill>
    </fill>
    <fill>
      <patternFill patternType="solid">
        <fgColor indexed="15"/>
      </patternFill>
    </fill>
    <fill>
      <patternFill patternType="solid">
        <fgColor indexed="42"/>
        <bgColor indexed="64"/>
      </patternFill>
    </fill>
    <fill>
      <patternFill patternType="solid">
        <fgColor indexed="21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3"/>
        <bgColor indexed="64"/>
      </patternFill>
    </fill>
    <fill>
      <patternFill patternType="lightGray">
        <fgColor indexed="15"/>
      </patternFill>
    </fill>
    <fill>
      <patternFill patternType="gray0625">
        <fgColor indexed="15"/>
      </patternFill>
    </fill>
    <fill>
      <patternFill patternType="solid">
        <fgColor indexed="31"/>
        <bgColor indexed="64"/>
      </patternFill>
    </fill>
    <fill>
      <patternFill patternType="lightGray">
        <fgColor indexed="12"/>
      </patternFill>
    </fill>
    <fill>
      <patternFill patternType="solid">
        <fgColor indexed="9"/>
        <bgColor indexed="9"/>
      </patternFill>
    </fill>
    <fill>
      <patternFill patternType="mediumGray"/>
    </fill>
    <fill>
      <patternFill patternType="solid">
        <fgColor indexed="41"/>
        <bgColor indexed="64"/>
      </patternFill>
    </fill>
    <fill>
      <patternFill patternType="mediumGray">
        <fgColor indexed="9"/>
        <bgColor indexed="22"/>
      </patternFill>
    </fill>
    <fill>
      <patternFill patternType="solid">
        <fgColor indexed="10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19"/>
        <bgColor indexed="64"/>
      </patternFill>
    </fill>
    <fill>
      <patternFill patternType="gray0625"/>
    </fill>
    <fill>
      <patternFill patternType="solid">
        <fgColor indexed="63"/>
        <bgColor indexed="64"/>
      </patternFill>
    </fill>
    <fill>
      <patternFill patternType="solid">
        <fgColor indexed="39"/>
      </patternFill>
    </fill>
    <fill>
      <patternFill patternType="lightUp">
        <fgColor indexed="54"/>
        <bgColor indexed="22"/>
      </patternFill>
    </fill>
    <fill>
      <patternFill patternType="solid">
        <fgColor indexed="22"/>
      </patternFill>
    </fill>
    <fill>
      <patternFill patternType="solid">
        <fgColor indexed="42"/>
      </patternFill>
    </fill>
    <fill>
      <patternFill patternType="solid">
        <fgColor indexed="62"/>
      </patternFill>
    </fill>
    <fill>
      <patternFill patternType="solid">
        <fgColor indexed="15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2"/>
        <bgColor indexed="9"/>
      </patternFill>
    </fill>
    <fill>
      <patternFill patternType="solid">
        <fgColor rgb="FFEAEAEA"/>
        <bgColor indexed="64"/>
      </patternFill>
    </fill>
    <fill>
      <patternFill patternType="solid">
        <fgColor rgb="FF7397BC"/>
        <bgColor indexed="64"/>
      </patternFill>
    </fill>
    <fill>
      <patternFill patternType="solid">
        <fgColor rgb="FF165788"/>
        <bgColor indexed="64"/>
      </patternFill>
    </fill>
    <fill>
      <patternFill patternType="solid">
        <fgColor rgb="FF5482AB"/>
        <bgColor indexed="64"/>
      </patternFill>
    </fill>
    <fill>
      <patternFill patternType="solid">
        <fgColor rgb="FF93B1CC"/>
        <bgColor indexed="64"/>
      </patternFill>
    </fill>
    <fill>
      <patternFill patternType="solid">
        <fgColor rgb="FF93C196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rgb="FFFFFFCC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gray0625">
        <fgColor indexed="10"/>
        <bgColor indexed="9"/>
      </patternFill>
    </fill>
    <fill>
      <patternFill patternType="lightGray">
        <fgColor indexed="14"/>
        <bgColor indexed="9"/>
      </patternFill>
    </fill>
    <fill>
      <patternFill patternType="solid">
        <fgColor indexed="55"/>
      </patternFill>
    </fill>
    <fill>
      <patternFill patternType="solid">
        <fgColor rgb="FFE4DFE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indexed="32"/>
        <bgColor indexed="64"/>
      </patternFill>
    </fill>
    <fill>
      <patternFill patternType="solid">
        <fgColor rgb="FFF2EDB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</fills>
  <borders count="97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theme="3"/>
      </right>
      <top/>
      <bottom/>
      <diagonal/>
    </border>
    <border>
      <left style="medium">
        <color theme="3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56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/>
      <top/>
      <bottom style="hair">
        <color indexed="22"/>
      </bottom>
      <diagonal/>
    </border>
    <border>
      <left style="thin">
        <color indexed="9"/>
      </left>
      <right style="thin">
        <color indexed="55"/>
      </right>
      <top style="thin">
        <color indexed="9"/>
      </top>
      <bottom style="thin">
        <color indexed="55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/>
      <bottom style="medium">
        <color indexed="18"/>
      </bottom>
      <diagonal/>
    </border>
    <border>
      <left/>
      <right/>
      <top/>
      <bottom style="thin">
        <color indexed="8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12"/>
      </left>
      <right style="medium">
        <color indexed="12"/>
      </right>
      <top style="medium">
        <color indexed="12"/>
      </top>
      <bottom style="medium">
        <color indexed="12"/>
      </bottom>
      <diagonal/>
    </border>
    <border>
      <left style="thick">
        <color indexed="12"/>
      </left>
      <right style="thick">
        <color indexed="12"/>
      </right>
      <top style="thick">
        <color indexed="12"/>
      </top>
      <bottom style="thick">
        <color indexed="12"/>
      </bottom>
      <diagonal/>
    </border>
    <border>
      <left/>
      <right style="medium">
        <color indexed="9"/>
      </right>
      <top/>
      <bottom style="medium">
        <color indexed="9"/>
      </bottom>
      <diagonal/>
    </border>
    <border>
      <left/>
      <right/>
      <top/>
      <bottom style="thin">
        <color indexed="41"/>
      </bottom>
      <diagonal/>
    </border>
    <border>
      <left/>
      <right/>
      <top style="thin">
        <color indexed="8"/>
      </top>
      <bottom/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indexed="24"/>
      </bottom>
      <diagonal/>
    </border>
    <border>
      <left/>
      <right/>
      <top style="medium">
        <color indexed="32"/>
      </top>
      <bottom style="medium">
        <color indexed="32"/>
      </bottom>
      <diagonal/>
    </border>
    <border>
      <left/>
      <right/>
      <top/>
      <bottom style="thin">
        <color indexed="23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12"/>
      </left>
      <right style="dotted">
        <color indexed="12"/>
      </right>
      <top style="dotted">
        <color indexed="12"/>
      </top>
      <bottom style="dotted">
        <color indexed="12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/>
      <bottom style="medium">
        <color indexed="23"/>
      </bottom>
      <diagonal/>
    </border>
    <border>
      <left style="dotted">
        <color indexed="22"/>
      </left>
      <right style="dotted">
        <color indexed="22"/>
      </right>
      <top style="dotted">
        <color indexed="22"/>
      </top>
      <bottom style="dotted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/>
      <bottom style="thick">
        <color indexed="44"/>
      </bottom>
      <diagonal/>
    </border>
    <border>
      <left/>
      <right/>
      <top style="thick">
        <color indexed="44"/>
      </top>
      <bottom style="thick">
        <color indexed="44"/>
      </bottom>
      <diagonal/>
    </border>
    <border>
      <left style="thick">
        <color indexed="64"/>
      </left>
      <right/>
      <top/>
      <bottom/>
      <diagonal/>
    </border>
    <border>
      <left/>
      <right/>
      <top style="double">
        <color indexed="64"/>
      </top>
      <bottom/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/>
      <top/>
      <bottom style="thin">
        <color rgb="FF969696"/>
      </bottom>
      <diagonal/>
    </border>
    <border>
      <left/>
      <right/>
      <top style="thin">
        <color indexed="32"/>
      </top>
      <bottom style="thin">
        <color indexed="3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hair">
        <color auto="1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rgb="FF969696"/>
      </left>
      <right style="hair">
        <color rgb="FF969696"/>
      </right>
      <top style="hair">
        <color rgb="FF969696"/>
      </top>
      <bottom style="hair">
        <color rgb="FF969696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hair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medium">
        <color indexed="9"/>
      </left>
      <right style="medium">
        <color indexed="9"/>
      </right>
      <top style="medium">
        <color indexed="9"/>
      </top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n">
        <color rgb="FF000000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theme="0" tint="-0.499984740745262"/>
      </right>
      <top/>
      <bottom/>
      <diagonal/>
    </border>
    <border>
      <left/>
      <right style="thin">
        <color indexed="64"/>
      </right>
      <top/>
      <bottom style="thin">
        <color rgb="FF969696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hair">
        <color indexed="64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/>
      <top style="hair">
        <color indexed="8"/>
      </top>
      <bottom style="hair">
        <color indexed="8"/>
      </bottom>
      <diagonal/>
    </border>
  </borders>
  <cellStyleXfs count="3810">
    <xf numFmtId="0" fontId="294" fillId="0" borderId="0"/>
    <xf numFmtId="0" fontId="13" fillId="0" borderId="0" applyAlignment="1" applyProtection="1">
      <alignment vertical="top"/>
      <protection locked="0" hidden="0"/>
    </xf>
    <xf numFmtId="0" fontId="295" fillId="0" borderId="0"/>
    <xf numFmtId="0" fontId="295" fillId="0" borderId="0"/>
    <xf numFmtId="43" fontId="295" fillId="0" borderId="0"/>
    <xf numFmtId="9" fontId="295" fillId="0" borderId="0"/>
    <xf numFmtId="178" fontId="28" fillId="11" borderId="0" applyAlignment="1">
      <alignment horizontal="right"/>
    </xf>
    <xf numFmtId="0" fontId="295" fillId="0" borderId="0" applyAlignment="1">
      <alignment vertical="center"/>
    </xf>
    <xf numFmtId="164" fontId="8" fillId="3" borderId="95"/>
    <xf numFmtId="179" fontId="31" fillId="0" borderId="0" applyAlignment="1">
      <alignment horizontal="right"/>
    </xf>
    <xf numFmtId="164" fontId="32" fillId="14" borderId="0"/>
    <xf numFmtId="180" fontId="33" fillId="0" borderId="0"/>
    <xf numFmtId="0" fontId="2" fillId="0" borderId="0"/>
    <xf numFmtId="180" fontId="33" fillId="0" borderId="0"/>
    <xf numFmtId="181" fontId="4" fillId="0" borderId="0"/>
    <xf numFmtId="5" fontId="34" fillId="0" borderId="0"/>
    <xf numFmtId="0" fontId="295" fillId="0" borderId="0"/>
    <xf numFmtId="0" fontId="295" fillId="0" borderId="0"/>
    <xf numFmtId="182" fontId="295" fillId="0" borderId="0"/>
    <xf numFmtId="183" fontId="35" fillId="0" borderId="0"/>
    <xf numFmtId="184" fontId="4" fillId="0" borderId="0"/>
    <xf numFmtId="0" fontId="36" fillId="0" borderId="0"/>
    <xf numFmtId="185" fontId="4" fillId="0" borderId="0"/>
    <xf numFmtId="10" fontId="34" fillId="0" borderId="0"/>
    <xf numFmtId="10" fontId="37" fillId="0" borderId="0"/>
    <xf numFmtId="10" fontId="37" fillId="0" borderId="0"/>
    <xf numFmtId="9" fontId="34" fillId="0" borderId="0"/>
    <xf numFmtId="10" fontId="37" fillId="0" borderId="0"/>
    <xf numFmtId="10" fontId="37" fillId="0" borderId="0"/>
    <xf numFmtId="9" fontId="38" fillId="0" borderId="0"/>
    <xf numFmtId="168" fontId="38" fillId="0" borderId="0"/>
    <xf numFmtId="10" fontId="38" fillId="0" borderId="0"/>
    <xf numFmtId="0" fontId="36" fillId="0" borderId="0"/>
    <xf numFmtId="0" fontId="39" fillId="13" borderId="0"/>
    <xf numFmtId="186" fontId="38" fillId="0" borderId="11"/>
    <xf numFmtId="164" fontId="35" fillId="0" borderId="0"/>
    <xf numFmtId="187" fontId="35" fillId="0" borderId="0"/>
    <xf numFmtId="188" fontId="295" fillId="0" borderId="0"/>
    <xf numFmtId="0" fontId="40" fillId="0" borderId="0"/>
    <xf numFmtId="0" fontId="41" fillId="0" borderId="0" applyAlignment="1">
      <alignment horizontal="center" vertical="center"/>
    </xf>
    <xf numFmtId="0" fontId="32" fillId="0" borderId="0"/>
    <xf numFmtId="0" fontId="35" fillId="0" borderId="0"/>
    <xf numFmtId="0" fontId="41" fillId="0" borderId="0" applyAlignment="1">
      <alignment horizontal="center" vertical="center"/>
    </xf>
    <xf numFmtId="0" fontId="41" fillId="0" borderId="0" applyAlignment="1">
      <alignment horizontal="center" vertical="center"/>
    </xf>
    <xf numFmtId="0" fontId="41" fillId="0" borderId="0" applyAlignment="1">
      <alignment horizontal="center" vertical="center"/>
    </xf>
    <xf numFmtId="0" fontId="41" fillId="0" borderId="0" applyAlignment="1">
      <alignment horizontal="center" vertical="center"/>
    </xf>
    <xf numFmtId="0" fontId="41" fillId="0" borderId="0" applyAlignment="1">
      <alignment horizontal="center" vertical="center"/>
    </xf>
    <xf numFmtId="0" fontId="35" fillId="0" borderId="0"/>
    <xf numFmtId="189" fontId="4" fillId="0" borderId="0"/>
    <xf numFmtId="168" fontId="4" fillId="0" borderId="0"/>
    <xf numFmtId="190" fontId="4" fillId="0" borderId="0"/>
    <xf numFmtId="191" fontId="4" fillId="0" borderId="0"/>
    <xf numFmtId="0" fontId="36" fillId="0" borderId="0"/>
    <xf numFmtId="0" fontId="295" fillId="0" borderId="0"/>
    <xf numFmtId="0" fontId="42" fillId="0" borderId="0"/>
    <xf numFmtId="0" fontId="42" fillId="0" borderId="0"/>
    <xf numFmtId="0" fontId="36" fillId="0" borderId="0"/>
    <xf numFmtId="0" fontId="295" fillId="0" borderId="0"/>
    <xf numFmtId="0" fontId="4" fillId="13" borderId="0" applyAlignment="1">
      <alignment horizontal="left" wrapText="1"/>
    </xf>
    <xf numFmtId="0" fontId="7" fillId="15" borderId="0" applyAlignment="1">
      <alignment horizontal="left"/>
    </xf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7" fillId="15" borderId="0" applyAlignment="1">
      <alignment horizontal="left"/>
    </xf>
    <xf numFmtId="3" fontId="4" fillId="16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7" fillId="15" borderId="0" applyAlignment="1">
      <alignment horizontal="left"/>
    </xf>
    <xf numFmtId="0" fontId="7" fillId="15" borderId="0" applyAlignment="1">
      <alignment horizontal="left"/>
    </xf>
    <xf numFmtId="0" fontId="295" fillId="13" borderId="0"/>
    <xf numFmtId="0" fontId="295" fillId="13" borderId="0"/>
    <xf numFmtId="0" fontId="295" fillId="13" borderId="0"/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295" fillId="13" borderId="0"/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49" fontId="7" fillId="17" borderId="0" applyAlignment="1">
      <alignment horizontal="left"/>
    </xf>
    <xf numFmtId="0" fontId="4" fillId="16" borderId="0"/>
    <xf numFmtId="0" fontId="4" fillId="16" borderId="0"/>
    <xf numFmtId="49" fontId="7" fillId="17" borderId="0" applyAlignment="1">
      <alignment horizontal="left"/>
    </xf>
    <xf numFmtId="49" fontId="7" fillId="17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7" fillId="18" borderId="0" applyAlignment="1">
      <alignment horizontal="left"/>
    </xf>
    <xf numFmtId="0" fontId="4" fillId="16" borderId="0"/>
    <xf numFmtId="0" fontId="4" fillId="16" borderId="0"/>
    <xf numFmtId="0" fontId="7" fillId="18" borderId="0" applyAlignment="1">
      <alignment horizontal="left"/>
    </xf>
    <xf numFmtId="0" fontId="7" fillId="18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49" fontId="7" fillId="19" borderId="0" applyAlignment="1">
      <alignment horizontal="left"/>
    </xf>
    <xf numFmtId="0" fontId="4" fillId="16" borderId="0"/>
    <xf numFmtId="0" fontId="4" fillId="16" borderId="0"/>
    <xf numFmtId="49" fontId="7" fillId="19" borderId="0" applyAlignment="1">
      <alignment horizontal="left"/>
    </xf>
    <xf numFmtId="0" fontId="4" fillId="16" borderId="0"/>
    <xf numFmtId="0" fontId="4" fillId="16" borderId="0"/>
    <xf numFmtId="49" fontId="7" fillId="20" borderId="0" applyAlignment="1">
      <alignment horizontal="left"/>
    </xf>
    <xf numFmtId="49" fontId="7" fillId="19" borderId="0" applyAlignment="1">
      <alignment horizontal="left"/>
    </xf>
    <xf numFmtId="49" fontId="7" fillId="19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7" fillId="20" borderId="0" applyAlignment="1">
      <alignment horizontal="left"/>
    </xf>
    <xf numFmtId="0" fontId="4" fillId="16" borderId="0"/>
    <xf numFmtId="0" fontId="4" fillId="16" borderId="0"/>
    <xf numFmtId="0" fontId="7" fillId="21" borderId="0" applyAlignment="1">
      <alignment horizontal="left"/>
    </xf>
    <xf numFmtId="0" fontId="7" fillId="20" borderId="0" applyAlignment="1">
      <alignment horizontal="left"/>
    </xf>
    <xf numFmtId="0" fontId="7" fillId="20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14" fillId="21" borderId="0" applyAlignment="1">
      <alignment horizontal="left"/>
    </xf>
    <xf numFmtId="0" fontId="4" fillId="16" borderId="0"/>
    <xf numFmtId="0" fontId="4" fillId="16" borderId="0"/>
    <xf numFmtId="0" fontId="14" fillId="21" borderId="0" applyAlignment="1">
      <alignment horizontal="left"/>
    </xf>
    <xf numFmtId="0" fontId="14" fillId="21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3" fillId="22" borderId="0" applyAlignment="1">
      <alignment horizontal="left"/>
    </xf>
    <xf numFmtId="0" fontId="4" fillId="16" borderId="0"/>
    <xf numFmtId="0" fontId="4" fillId="16" borderId="0"/>
    <xf numFmtId="0" fontId="43" fillId="22" borderId="0" applyAlignment="1">
      <alignment horizontal="left"/>
    </xf>
    <xf numFmtId="0" fontId="4" fillId="16" borderId="0"/>
    <xf numFmtId="0" fontId="4" fillId="16" borderId="0"/>
    <xf numFmtId="0" fontId="43" fillId="22" borderId="0" applyAlignment="1">
      <alignment horizontal="left"/>
    </xf>
    <xf numFmtId="0" fontId="43" fillId="22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14" fillId="23" borderId="0" applyAlignment="1">
      <alignment horizontal="left"/>
    </xf>
    <xf numFmtId="0" fontId="14" fillId="24" borderId="0" applyAlignment="1">
      <alignment horizontal="left"/>
    </xf>
    <xf numFmtId="0" fontId="14" fillId="23" borderId="0" applyAlignment="1">
      <alignment horizontal="left"/>
    </xf>
    <xf numFmtId="0" fontId="14" fillId="24" borderId="0" applyAlignment="1">
      <alignment horizontal="left"/>
    </xf>
    <xf numFmtId="164" fontId="295" fillId="0" borderId="0"/>
    <xf numFmtId="164" fontId="295" fillId="0" borderId="0"/>
    <xf numFmtId="170" fontId="295" fillId="0" borderId="0"/>
    <xf numFmtId="170" fontId="295" fillId="0" borderId="0"/>
    <xf numFmtId="170" fontId="295" fillId="0" borderId="0"/>
    <xf numFmtId="0" fontId="36" fillId="0" borderId="0"/>
    <xf numFmtId="192" fontId="295" fillId="0" borderId="0"/>
    <xf numFmtId="193" fontId="4" fillId="0" borderId="0"/>
    <xf numFmtId="194" fontId="4" fillId="0" borderId="0"/>
    <xf numFmtId="195" fontId="4" fillId="0" borderId="0"/>
    <xf numFmtId="196" fontId="4" fillId="0" borderId="0"/>
    <xf numFmtId="197" fontId="295" fillId="0" borderId="0"/>
    <xf numFmtId="198" fontId="295" fillId="0" borderId="0"/>
    <xf numFmtId="39" fontId="295" fillId="0" borderId="0"/>
    <xf numFmtId="39" fontId="295" fillId="0" borderId="0"/>
    <xf numFmtId="179" fontId="4" fillId="0" borderId="0"/>
    <xf numFmtId="199" fontId="4" fillId="0" borderId="0"/>
    <xf numFmtId="179" fontId="4" fillId="0" borderId="0"/>
    <xf numFmtId="3" fontId="4" fillId="3" borderId="26" applyAlignment="1">
      <alignment horizontal="right"/>
    </xf>
    <xf numFmtId="4" fontId="295" fillId="3" borderId="0"/>
    <xf numFmtId="4" fontId="44" fillId="25" borderId="27"/>
    <xf numFmtId="43" fontId="4" fillId="3" borderId="26"/>
    <xf numFmtId="3" fontId="4" fillId="3" borderId="26" applyAlignment="1">
      <alignment horizontal="right"/>
    </xf>
    <xf numFmtId="3" fontId="4" fillId="3" borderId="26" applyAlignment="1">
      <alignment horizontal="right"/>
    </xf>
    <xf numFmtId="4" fontId="44" fillId="25" borderId="27"/>
    <xf numFmtId="3" fontId="4" fillId="2" borderId="26"/>
    <xf numFmtId="3" fontId="4" fillId="3" borderId="26" applyAlignment="1">
      <alignment horizontal="right"/>
    </xf>
    <xf numFmtId="3" fontId="4" fillId="3" borderId="26" applyAlignment="1">
      <alignment horizontal="right"/>
    </xf>
    <xf numFmtId="43" fontId="4" fillId="3" borderId="26"/>
    <xf numFmtId="3" fontId="4" fillId="3" borderId="26" applyAlignment="1">
      <alignment horizontal="right"/>
    </xf>
    <xf numFmtId="3" fontId="4" fillId="3" borderId="26" applyAlignment="1">
      <alignment horizontal="right"/>
    </xf>
    <xf numFmtId="3" fontId="4" fillId="3" borderId="26" applyAlignment="1">
      <alignment horizontal="right"/>
    </xf>
    <xf numFmtId="4" fontId="44" fillId="25" borderId="27"/>
    <xf numFmtId="4" fontId="44" fillId="25" borderId="27"/>
    <xf numFmtId="43" fontId="4" fillId="3" borderId="26"/>
    <xf numFmtId="43" fontId="4" fillId="3" borderId="26"/>
    <xf numFmtId="43" fontId="4" fillId="3" borderId="26"/>
    <xf numFmtId="43" fontId="4" fillId="3" borderId="26"/>
    <xf numFmtId="3" fontId="4" fillId="3" borderId="26" applyAlignment="1">
      <alignment horizontal="right"/>
    </xf>
    <xf numFmtId="3" fontId="4" fillId="3" borderId="26" applyAlignment="1">
      <alignment horizontal="right"/>
    </xf>
    <xf numFmtId="3" fontId="4" fillId="3" borderId="26" applyAlignment="1">
      <alignment horizontal="right"/>
    </xf>
    <xf numFmtId="43" fontId="4" fillId="3" borderId="26"/>
    <xf numFmtId="43" fontId="4" fillId="3" borderId="26"/>
    <xf numFmtId="3" fontId="4" fillId="3" borderId="26" applyAlignment="1">
      <alignment horizontal="right"/>
    </xf>
    <xf numFmtId="200" fontId="4" fillId="0" borderId="0"/>
    <xf numFmtId="201" fontId="4" fillId="0" borderId="0"/>
    <xf numFmtId="0" fontId="45" fillId="0" borderId="0" applyAlignment="1">
      <alignment vertical="center"/>
    </xf>
    <xf numFmtId="0" fontId="36" fillId="0" borderId="0"/>
    <xf numFmtId="0" fontId="36" fillId="0" borderId="0"/>
    <xf numFmtId="0" fontId="36" fillId="0" borderId="0"/>
    <xf numFmtId="0" fontId="9" fillId="3" borderId="0" applyAlignment="1">
      <alignment horizontal="left"/>
    </xf>
    <xf numFmtId="0" fontId="46" fillId="26" borderId="0"/>
    <xf numFmtId="0" fontId="47" fillId="27" borderId="0"/>
    <xf numFmtId="0" fontId="9" fillId="3" borderId="0"/>
    <xf numFmtId="0" fontId="9" fillId="3" borderId="0" applyAlignment="1">
      <alignment horizontal="left"/>
    </xf>
    <xf numFmtId="0" fontId="9" fillId="3" borderId="0" applyAlignment="1">
      <alignment horizontal="left"/>
    </xf>
    <xf numFmtId="0" fontId="47" fillId="27" borderId="0"/>
    <xf numFmtId="0" fontId="295" fillId="3" borderId="0" applyAlignment="1">
      <alignment wrapText="1"/>
    </xf>
    <xf numFmtId="0" fontId="9" fillId="3" borderId="0" applyAlignment="1">
      <alignment horizontal="left"/>
    </xf>
    <xf numFmtId="0" fontId="9" fillId="3" borderId="0"/>
    <xf numFmtId="0" fontId="9" fillId="3" borderId="0" applyAlignment="1">
      <alignment horizontal="left"/>
    </xf>
    <xf numFmtId="0" fontId="9" fillId="3" borderId="0" applyAlignment="1">
      <alignment horizontal="left"/>
    </xf>
    <xf numFmtId="0" fontId="46" fillId="26" borderId="0"/>
    <xf numFmtId="0" fontId="9" fillId="3" borderId="0" applyAlignment="1">
      <alignment horizontal="left"/>
    </xf>
    <xf numFmtId="0" fontId="47" fillId="27" borderId="0"/>
    <xf numFmtId="0" fontId="47" fillId="27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 applyAlignment="1">
      <alignment horizontal="left"/>
    </xf>
    <xf numFmtId="0" fontId="9" fillId="3" borderId="0" applyAlignment="1">
      <alignment horizontal="left"/>
    </xf>
    <xf numFmtId="0" fontId="9" fillId="3" borderId="0" applyAlignment="1">
      <alignment horizontal="left"/>
    </xf>
    <xf numFmtId="0" fontId="9" fillId="3" borderId="0"/>
    <xf numFmtId="0" fontId="9" fillId="3" borderId="0"/>
    <xf numFmtId="0" fontId="9" fillId="3" borderId="0" applyAlignment="1">
      <alignment horizontal="left"/>
    </xf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295" fillId="28" borderId="0"/>
    <xf numFmtId="0" fontId="36" fillId="0" borderId="0"/>
    <xf numFmtId="0" fontId="295" fillId="0" borderId="0"/>
    <xf numFmtId="0" fontId="295" fillId="0" borderId="0"/>
    <xf numFmtId="0" fontId="295" fillId="0" borderId="0"/>
    <xf numFmtId="202" fontId="295" fillId="0" borderId="0"/>
    <xf numFmtId="202" fontId="295" fillId="0" borderId="0"/>
    <xf numFmtId="203" fontId="295" fillId="0" borderId="0"/>
    <xf numFmtId="203" fontId="295" fillId="0" borderId="0"/>
    <xf numFmtId="203" fontId="295" fillId="0" borderId="0"/>
    <xf numFmtId="204" fontId="4" fillId="0" borderId="0"/>
    <xf numFmtId="205" fontId="295" fillId="0" borderId="0"/>
    <xf numFmtId="205" fontId="295" fillId="0" borderId="0"/>
    <xf numFmtId="206" fontId="295" fillId="0" borderId="0"/>
    <xf numFmtId="206" fontId="295" fillId="0" borderId="0"/>
    <xf numFmtId="207" fontId="295" fillId="0" borderId="0" applyAlignment="1">
      <alignment horizontal="right"/>
    </xf>
    <xf numFmtId="207" fontId="295" fillId="0" borderId="0" applyAlignment="1">
      <alignment horizontal="right"/>
    </xf>
    <xf numFmtId="208" fontId="4" fillId="0" borderId="0"/>
    <xf numFmtId="209" fontId="35" fillId="0" borderId="0"/>
    <xf numFmtId="209" fontId="35" fillId="0" borderId="0"/>
    <xf numFmtId="207" fontId="295" fillId="0" borderId="0" applyAlignment="1">
      <alignment horizontal="right"/>
    </xf>
    <xf numFmtId="0" fontId="295" fillId="0" borderId="0"/>
    <xf numFmtId="210" fontId="4" fillId="0" borderId="0"/>
    <xf numFmtId="211" fontId="295" fillId="0" borderId="0"/>
    <xf numFmtId="212" fontId="4" fillId="0" borderId="0"/>
    <xf numFmtId="213" fontId="35" fillId="0" borderId="0"/>
    <xf numFmtId="213" fontId="35" fillId="0" borderId="0"/>
    <xf numFmtId="211" fontId="295" fillId="0" borderId="0"/>
    <xf numFmtId="0" fontId="14" fillId="29" borderId="0"/>
    <xf numFmtId="0" fontId="295" fillId="0" borderId="0"/>
    <xf numFmtId="214" fontId="295" fillId="0" borderId="0"/>
    <xf numFmtId="197" fontId="295" fillId="0" borderId="0"/>
    <xf numFmtId="215" fontId="295" fillId="0" borderId="0"/>
    <xf numFmtId="5" fontId="35" fillId="0" borderId="0"/>
    <xf numFmtId="216" fontId="4" fillId="0" borderId="0"/>
    <xf numFmtId="217" fontId="295" fillId="0" borderId="0"/>
    <xf numFmtId="181" fontId="4" fillId="0" borderId="0"/>
    <xf numFmtId="180" fontId="35" fillId="0" borderId="0"/>
    <xf numFmtId="180" fontId="35" fillId="0" borderId="0"/>
    <xf numFmtId="217" fontId="295" fillId="0" borderId="0"/>
    <xf numFmtId="0" fontId="4" fillId="13" borderId="0" applyAlignment="1">
      <alignment horizontal="left" wrapText="1"/>
    </xf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7" fillId="15" borderId="0"/>
    <xf numFmtId="3" fontId="4" fillId="16" borderId="0" applyAlignment="1">
      <alignment horizontal="left" vertical="center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7" fillId="26" borderId="0"/>
    <xf numFmtId="0" fontId="4" fillId="13" borderId="0" applyAlignment="1">
      <alignment horizontal="left" wrapText="1"/>
    </xf>
    <xf numFmtId="0" fontId="7" fillId="15" borderId="0"/>
    <xf numFmtId="0" fontId="7" fillId="15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295" fillId="13" borderId="0"/>
    <xf numFmtId="0" fontId="295" fillId="13" borderId="0"/>
    <xf numFmtId="0" fontId="4" fillId="13" borderId="0" applyAlignment="1">
      <alignment horizontal="left" wrapText="1"/>
    </xf>
    <xf numFmtId="0" fontId="295" fillId="30" borderId="0"/>
    <xf numFmtId="0" fontId="4" fillId="13" borderId="0" applyAlignment="1">
      <alignment horizontal="left" wrapText="1"/>
    </xf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1" borderId="0"/>
    <xf numFmtId="0" fontId="7" fillId="17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7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7" borderId="0"/>
    <xf numFmtId="0" fontId="7" fillId="17" borderId="0"/>
    <xf numFmtId="0" fontId="4" fillId="16" borderId="0" applyAlignment="1">
      <alignment horizontal="left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8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8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8" borderId="0"/>
    <xf numFmtId="0" fontId="7" fillId="18" borderId="0"/>
    <xf numFmtId="0" fontId="4" fillId="16" borderId="0" applyAlignment="1">
      <alignment horizontal="left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/>
    </xf>
    <xf numFmtId="0" fontId="7" fillId="20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9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20" borderId="0"/>
    <xf numFmtId="0" fontId="7" fillId="19" borderId="0"/>
    <xf numFmtId="0" fontId="7" fillId="19" borderId="0"/>
    <xf numFmtId="0" fontId="4" fillId="16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7" fillId="21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20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20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20" borderId="0"/>
    <xf numFmtId="0" fontId="7" fillId="20" borderId="0"/>
    <xf numFmtId="0" fontId="4" fillId="16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7" fillId="31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14" fillId="21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14" fillId="21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14" fillId="21" borderId="0"/>
    <xf numFmtId="0" fontId="14" fillId="21" borderId="0"/>
    <xf numFmtId="0" fontId="4" fillId="16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14" fillId="23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43" fillId="22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43" fillId="22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14" fillId="23" borderId="0"/>
    <xf numFmtId="0" fontId="43" fillId="22" borderId="0"/>
    <xf numFmtId="0" fontId="43" fillId="22" borderId="0"/>
    <xf numFmtId="0" fontId="4" fillId="16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14" fillId="23" borderId="0"/>
    <xf numFmtId="0" fontId="14" fillId="24" borderId="0"/>
    <xf numFmtId="0" fontId="14" fillId="23" borderId="0"/>
    <xf numFmtId="0" fontId="14" fillId="24" borderId="0"/>
    <xf numFmtId="0" fontId="36" fillId="0" borderId="0"/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295" fillId="0" borderId="0"/>
    <xf numFmtId="0" fontId="36" fillId="0" borderId="0"/>
    <xf numFmtId="196" fontId="35" fillId="0" borderId="0"/>
    <xf numFmtId="218" fontId="35" fillId="0" borderId="0"/>
    <xf numFmtId="0" fontId="295" fillId="0" borderId="0"/>
    <xf numFmtId="0" fontId="4" fillId="0" borderId="0"/>
    <xf numFmtId="219" fontId="4" fillId="0" borderId="0"/>
    <xf numFmtId="220" fontId="4" fillId="0" borderId="0"/>
    <xf numFmtId="221" fontId="4" fillId="0" borderId="0"/>
    <xf numFmtId="222" fontId="33" fillId="0" borderId="0"/>
    <xf numFmtId="222" fontId="33" fillId="0" borderId="0"/>
    <xf numFmtId="197" fontId="33" fillId="0" borderId="0"/>
    <xf numFmtId="220" fontId="38" fillId="0" borderId="0"/>
    <xf numFmtId="223" fontId="295" fillId="0" borderId="0"/>
    <xf numFmtId="224" fontId="4" fillId="0" borderId="0"/>
    <xf numFmtId="225" fontId="4" fillId="0" borderId="0"/>
    <xf numFmtId="226" fontId="4" fillId="0" borderId="0"/>
    <xf numFmtId="189" fontId="35" fillId="0" borderId="0"/>
    <xf numFmtId="227" fontId="35" fillId="0" borderId="0"/>
    <xf numFmtId="190" fontId="35" fillId="0" borderId="0"/>
    <xf numFmtId="228" fontId="53" fillId="0" borderId="0"/>
    <xf numFmtId="229" fontId="53" fillId="0" borderId="0"/>
    <xf numFmtId="230" fontId="53" fillId="0" borderId="0"/>
    <xf numFmtId="231" fontId="53" fillId="0" borderId="0"/>
    <xf numFmtId="232" fontId="53" fillId="0" borderId="0"/>
    <xf numFmtId="233" fontId="54" fillId="0" borderId="0"/>
    <xf numFmtId="221" fontId="38" fillId="0" borderId="0"/>
    <xf numFmtId="0" fontId="35" fillId="0" borderId="0"/>
    <xf numFmtId="0" fontId="35" fillId="0" borderId="0"/>
    <xf numFmtId="0" fontId="295" fillId="0" borderId="0"/>
    <xf numFmtId="0" fontId="55" fillId="0" borderId="0"/>
    <xf numFmtId="9" fontId="295" fillId="0" borderId="0"/>
    <xf numFmtId="0" fontId="38" fillId="0" borderId="0"/>
    <xf numFmtId="198" fontId="56" fillId="0" borderId="0"/>
    <xf numFmtId="218" fontId="4" fillId="0" borderId="0" applyAlignment="1" applyProtection="1">
      <alignment horizontal="left"/>
      <protection locked="0" hidden="0"/>
    </xf>
    <xf numFmtId="168" fontId="56" fillId="0" borderId="0"/>
    <xf numFmtId="197" fontId="56" fillId="0" borderId="0"/>
    <xf numFmtId="2" fontId="56" fillId="0" borderId="0"/>
    <xf numFmtId="10" fontId="56" fillId="0" borderId="0"/>
    <xf numFmtId="0" fontId="57" fillId="0" borderId="30"/>
    <xf numFmtId="197" fontId="56" fillId="0" borderId="0"/>
    <xf numFmtId="186" fontId="38" fillId="0" borderId="0"/>
    <xf numFmtId="186" fontId="38" fillId="0" borderId="0"/>
    <xf numFmtId="234" fontId="38" fillId="0" borderId="0" applyAlignment="1">
      <alignment horizontal="center"/>
    </xf>
    <xf numFmtId="235" fontId="33" fillId="0" borderId="0"/>
    <xf numFmtId="179" fontId="4" fillId="0" borderId="0"/>
    <xf numFmtId="164" fontId="4" fillId="0" borderId="0"/>
    <xf numFmtId="164" fontId="4" fillId="0" borderId="0" applyAlignment="1">
      <alignment horizontal="right"/>
    </xf>
    <xf numFmtId="37" fontId="58" fillId="0" borderId="0" applyAlignment="1">
      <alignment horizontal="center"/>
    </xf>
    <xf numFmtId="164" fontId="59" fillId="0" borderId="0" applyAlignment="1">
      <alignment horizontal="center"/>
    </xf>
    <xf numFmtId="41" fontId="60" fillId="0" borderId="0"/>
    <xf numFmtId="236" fontId="4" fillId="0" borderId="0"/>
    <xf numFmtId="237" fontId="4" fillId="0" borderId="0"/>
    <xf numFmtId="238" fontId="295" fillId="0" borderId="0" applyAlignment="1">
      <alignment horizontal="right"/>
    </xf>
    <xf numFmtId="0" fontId="4" fillId="4" borderId="31" applyAlignment="1">
      <alignment horizontal="center" vertical="center"/>
    </xf>
    <xf numFmtId="0" fontId="61" fillId="0" borderId="0"/>
    <xf numFmtId="0" fontId="59" fillId="0" borderId="0" applyAlignment="1">
      <alignment horizontal="centerContinuous"/>
    </xf>
    <xf numFmtId="0" fontId="295" fillId="0" borderId="0" applyAlignment="1">
      <alignment horizontal="right"/>
    </xf>
    <xf numFmtId="0" fontId="23" fillId="0" borderId="0"/>
    <xf numFmtId="0" fontId="295" fillId="0" borderId="0"/>
    <xf numFmtId="0" fontId="5" fillId="0" borderId="0"/>
    <xf numFmtId="0" fontId="4" fillId="0" borderId="32"/>
    <xf numFmtId="164" fontId="62" fillId="3" borderId="17"/>
    <xf numFmtId="165" fontId="62" fillId="3" borderId="17"/>
    <xf numFmtId="168" fontId="62" fillId="3" borderId="17"/>
    <xf numFmtId="41" fontId="60" fillId="3" borderId="95"/>
    <xf numFmtId="236" fontId="4" fillId="3" borderId="95"/>
    <xf numFmtId="168" fontId="60" fillId="3" borderId="95"/>
    <xf numFmtId="0" fontId="63" fillId="0" borderId="33"/>
    <xf numFmtId="186" fontId="64" fillId="14" borderId="0" applyAlignment="1">
      <alignment horizontal="right"/>
    </xf>
    <xf numFmtId="0" fontId="4" fillId="32" borderId="17" applyAlignment="1">
      <alignment horizontal="right"/>
    </xf>
    <xf numFmtId="218" fontId="4" fillId="32" borderId="17" applyAlignment="1" applyProtection="1">
      <alignment horizontal="right"/>
      <protection locked="0" hidden="0"/>
    </xf>
    <xf numFmtId="235" fontId="295" fillId="32" borderId="17" applyAlignment="1" applyProtection="1">
      <alignment horizontal="right"/>
      <protection locked="0" hidden="0"/>
    </xf>
    <xf numFmtId="179" fontId="4" fillId="32" borderId="17" applyAlignment="1" applyProtection="1">
      <alignment horizontal="right"/>
      <protection locked="0" hidden="0"/>
    </xf>
    <xf numFmtId="239" fontId="4" fillId="32" borderId="17" applyAlignment="1">
      <alignment horizontal="right"/>
    </xf>
    <xf numFmtId="240" fontId="4" fillId="32" borderId="17" applyAlignment="1">
      <alignment horizontal="right"/>
    </xf>
    <xf numFmtId="241" fontId="4" fillId="32" borderId="17" applyAlignment="1">
      <alignment horizontal="right"/>
    </xf>
    <xf numFmtId="242" fontId="4" fillId="32" borderId="17" applyAlignment="1">
      <alignment horizontal="right"/>
    </xf>
    <xf numFmtId="192" fontId="4" fillId="32" borderId="17" applyAlignment="1">
      <alignment horizontal="right"/>
    </xf>
    <xf numFmtId="202" fontId="4" fillId="32" borderId="17" applyAlignment="1">
      <alignment horizontal="right"/>
    </xf>
    <xf numFmtId="0" fontId="35" fillId="0" borderId="0" applyAlignment="1">
      <alignment horizontal="centerContinuous"/>
    </xf>
    <xf numFmtId="0" fontId="59" fillId="0" borderId="11" applyAlignment="1">
      <alignment horizontal="centerContinuous"/>
    </xf>
    <xf numFmtId="0" fontId="65" fillId="33" borderId="34" applyAlignment="1">
      <alignment horizontal="right"/>
    </xf>
    <xf numFmtId="0" fontId="37" fillId="0" borderId="0" applyAlignment="1">
      <alignment horizontal="centerContinuous"/>
    </xf>
    <xf numFmtId="0" fontId="295" fillId="0" borderId="0"/>
    <xf numFmtId="182" fontId="295" fillId="0" borderId="0"/>
    <xf numFmtId="183" fontId="35" fillId="0" borderId="0"/>
    <xf numFmtId="9" fontId="37" fillId="0" borderId="0"/>
    <xf numFmtId="168" fontId="37" fillId="0" borderId="0"/>
    <xf numFmtId="10" fontId="37" fillId="0" borderId="0"/>
    <xf numFmtId="0" fontId="3" fillId="0" borderId="0"/>
    <xf numFmtId="0" fontId="31" fillId="0" borderId="0"/>
    <xf numFmtId="243" fontId="3" fillId="3" borderId="94"/>
    <xf numFmtId="244" fontId="66" fillId="0" borderId="0"/>
    <xf numFmtId="0" fontId="31" fillId="0" borderId="0"/>
    <xf numFmtId="0" fontId="31" fillId="0" borderId="0"/>
    <xf numFmtId="244" fontId="66" fillId="0" borderId="0"/>
    <xf numFmtId="189" fontId="35" fillId="0" borderId="0"/>
    <xf numFmtId="227" fontId="35" fillId="0" borderId="0"/>
    <xf numFmtId="190" fontId="35" fillId="0" borderId="0"/>
    <xf numFmtId="245" fontId="37" fillId="0" borderId="0"/>
    <xf numFmtId="0" fontId="37" fillId="0" borderId="0"/>
    <xf numFmtId="179" fontId="37" fillId="0" borderId="0"/>
    <xf numFmtId="43" fontId="37" fillId="0" borderId="0"/>
    <xf numFmtId="223" fontId="32" fillId="0" borderId="0"/>
    <xf numFmtId="0" fontId="60" fillId="0" borderId="0"/>
    <xf numFmtId="206" fontId="4" fillId="0" borderId="0" applyAlignment="1">
      <alignment vertical="top"/>
    </xf>
    <xf numFmtId="0" fontId="67" fillId="0" borderId="0" applyAlignment="1" applyProtection="1">
      <alignment vertical="top"/>
      <protection locked="0" hidden="0"/>
    </xf>
    <xf numFmtId="214" fontId="4" fillId="32" borderId="17"/>
    <xf numFmtId="243" fontId="295" fillId="0" borderId="0"/>
    <xf numFmtId="0" fontId="31" fillId="0" borderId="0"/>
    <xf numFmtId="243" fontId="27" fillId="0" borderId="0"/>
    <xf numFmtId="10" fontId="295" fillId="34" borderId="11" applyAlignment="1">
      <alignment horizontal="right"/>
    </xf>
    <xf numFmtId="1" fontId="68" fillId="0" borderId="0" applyAlignment="1" applyProtection="1">
      <alignment horizontal="right" wrapText="1"/>
      <protection locked="0" hidden="0"/>
    </xf>
    <xf numFmtId="246" fontId="69" fillId="0" borderId="0" applyAlignment="1" applyProtection="1">
      <alignment horizontal="right"/>
      <protection locked="0" hidden="0"/>
    </xf>
    <xf numFmtId="38" fontId="70" fillId="0" borderId="0"/>
    <xf numFmtId="0" fontId="71" fillId="0" borderId="0"/>
    <xf numFmtId="0" fontId="72" fillId="14" borderId="0" applyProtection="1">
      <protection locked="0" hidden="0"/>
    </xf>
    <xf numFmtId="0" fontId="73" fillId="34" borderId="0"/>
    <xf numFmtId="164" fontId="35" fillId="0" borderId="0"/>
    <xf numFmtId="247" fontId="4" fillId="0" borderId="0"/>
    <xf numFmtId="223" fontId="4" fillId="0" borderId="0"/>
    <xf numFmtId="248" fontId="74" fillId="0" borderId="0"/>
    <xf numFmtId="249" fontId="4" fillId="0" borderId="0"/>
    <xf numFmtId="250" fontId="4" fillId="0" borderId="0"/>
    <xf numFmtId="251" fontId="4" fillId="0" borderId="0"/>
    <xf numFmtId="171" fontId="4" fillId="0" borderId="0"/>
    <xf numFmtId="252" fontId="4" fillId="0" borderId="0"/>
    <xf numFmtId="246" fontId="4" fillId="0" borderId="0"/>
    <xf numFmtId="253" fontId="4" fillId="0" borderId="0"/>
    <xf numFmtId="254" fontId="4" fillId="0" borderId="0"/>
    <xf numFmtId="255" fontId="4" fillId="0" borderId="0"/>
    <xf numFmtId="256" fontId="4" fillId="0" borderId="0"/>
    <xf numFmtId="0" fontId="75" fillId="35" borderId="0" applyAlignment="1">
      <alignment horizontal="center" vertical="center"/>
    </xf>
    <xf numFmtId="164" fontId="295" fillId="0" borderId="0"/>
    <xf numFmtId="0" fontId="76" fillId="0" borderId="0"/>
    <xf numFmtId="0" fontId="1" fillId="35" borderId="35" applyAlignment="1">
      <alignment horizontal="center" vertical="center"/>
    </xf>
    <xf numFmtId="0" fontId="77" fillId="0" borderId="0" applyProtection="1">
      <protection locked="0" hidden="0"/>
    </xf>
    <xf numFmtId="246" fontId="17" fillId="0" borderId="0" applyProtection="1">
      <protection locked="0" hidden="0"/>
    </xf>
    <xf numFmtId="1" fontId="78" fillId="35" borderId="0"/>
    <xf numFmtId="208" fontId="4" fillId="0" borderId="0" applyAlignment="1">
      <alignment horizontal="right"/>
    </xf>
    <xf numFmtId="257" fontId="4" fillId="0" borderId="0"/>
    <xf numFmtId="258" fontId="4" fillId="0" borderId="0"/>
    <xf numFmtId="0" fontId="38" fillId="0" borderId="0"/>
    <xf numFmtId="259" fontId="79" fillId="0" borderId="0"/>
    <xf numFmtId="0" fontId="35" fillId="0" borderId="0"/>
    <xf numFmtId="0" fontId="80" fillId="0" borderId="0"/>
    <xf numFmtId="0" fontId="59" fillId="0" borderId="11"/>
    <xf numFmtId="0" fontId="81" fillId="14" borderId="14" applyProtection="1">
      <protection locked="0" hidden="0"/>
    </xf>
    <xf numFmtId="37" fontId="33" fillId="0" borderId="11"/>
    <xf numFmtId="0" fontId="32" fillId="0" borderId="3"/>
    <xf numFmtId="260" fontId="74" fillId="0" borderId="21"/>
    <xf numFmtId="0" fontId="295" fillId="0" borderId="3"/>
    <xf numFmtId="0" fontId="32" fillId="0" borderId="11"/>
    <xf numFmtId="260" fontId="74" fillId="0" borderId="8"/>
    <xf numFmtId="0" fontId="60" fillId="0" borderId="36"/>
    <xf numFmtId="0" fontId="34" fillId="0" borderId="11"/>
    <xf numFmtId="0" fontId="34" fillId="0" borderId="13"/>
    <xf numFmtId="0" fontId="34" fillId="0" borderId="14"/>
    <xf numFmtId="0" fontId="34" fillId="0" borderId="8"/>
    <xf numFmtId="0" fontId="70" fillId="0" borderId="11"/>
    <xf numFmtId="256" fontId="4" fillId="0" borderId="3" applyAlignment="1">
      <alignment horizontal="center"/>
    </xf>
    <xf numFmtId="0" fontId="82" fillId="0" borderId="37" applyAlignment="1">
      <alignment horizontal="right"/>
    </xf>
    <xf numFmtId="261" fontId="4" fillId="0" borderId="11" applyAlignment="1">
      <alignment horizontal="center"/>
    </xf>
    <xf numFmtId="0" fontId="31" fillId="0" borderId="8"/>
    <xf numFmtId="164" fontId="83" fillId="0" borderId="38"/>
    <xf numFmtId="262" fontId="84" fillId="2" borderId="0"/>
    <xf numFmtId="49" fontId="85" fillId="0" borderId="0" applyAlignment="1">
      <alignment horizontal="left"/>
    </xf>
    <xf numFmtId="227" fontId="4" fillId="0" borderId="0"/>
    <xf numFmtId="168" fontId="4" fillId="0" borderId="0"/>
    <xf numFmtId="49" fontId="4" fillId="0" borderId="0" applyAlignment="1">
      <alignment horizontal="left"/>
    </xf>
    <xf numFmtId="49" fontId="86" fillId="0" borderId="39" applyAlignment="1">
      <alignment horizontal="left" wrapText="1"/>
    </xf>
    <xf numFmtId="49" fontId="86" fillId="0" borderId="0" applyAlignment="1">
      <alignment horizontal="left" wrapText="1"/>
    </xf>
    <xf numFmtId="49" fontId="87" fillId="0" borderId="0" applyAlignment="1">
      <alignment horizontal="left"/>
    </xf>
    <xf numFmtId="0" fontId="295" fillId="0" borderId="0"/>
    <xf numFmtId="256" fontId="4" fillId="0" borderId="0" applyAlignment="1">
      <alignment horizontal="right"/>
    </xf>
    <xf numFmtId="245" fontId="37" fillId="0" borderId="8"/>
    <xf numFmtId="43" fontId="37" fillId="0" borderId="8"/>
    <xf numFmtId="0" fontId="38" fillId="0" borderId="11" applyAlignment="1">
      <alignment horizontal="centerContinuous"/>
    </xf>
    <xf numFmtId="0" fontId="295" fillId="0" borderId="3" applyAlignment="1">
      <alignment horizontal="centerContinuous"/>
    </xf>
    <xf numFmtId="224" fontId="38" fillId="0" borderId="0"/>
    <xf numFmtId="263" fontId="4" fillId="0" borderId="0" applyAlignment="1">
      <alignment horizontal="left"/>
    </xf>
    <xf numFmtId="264" fontId="4" fillId="0" borderId="0" applyAlignment="1">
      <alignment horizontal="left"/>
    </xf>
    <xf numFmtId="265" fontId="4" fillId="0" borderId="0" applyAlignment="1">
      <alignment horizontal="left"/>
    </xf>
    <xf numFmtId="266" fontId="4" fillId="36" borderId="0" applyAlignment="1">
      <alignment horizontal="center" vertical="top"/>
    </xf>
    <xf numFmtId="187" fontId="295" fillId="0" borderId="0"/>
    <xf numFmtId="200" fontId="35" fillId="0" borderId="0"/>
    <xf numFmtId="267" fontId="35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37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31" fillId="0" borderId="0" applyAlignment="1">
      <alignment horizontal="right"/>
    </xf>
    <xf numFmtId="0" fontId="31" fillId="0" borderId="0" applyAlignment="1">
      <alignment horizontal="right"/>
    </xf>
    <xf numFmtId="0" fontId="31" fillId="0" borderId="0" applyAlignment="1">
      <alignment horizontal="right"/>
    </xf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9" fillId="0" borderId="0" applyAlignment="1">
      <alignment horizontal="centerContinuous"/>
    </xf>
    <xf numFmtId="0" fontId="88" fillId="0" borderId="0"/>
    <xf numFmtId="0" fontId="88" fillId="0" borderId="0"/>
    <xf numFmtId="0" fontId="88" fillId="0" borderId="0"/>
    <xf numFmtId="43" fontId="31" fillId="0" borderId="0" applyAlignment="1">
      <alignment horizontal="right"/>
    </xf>
    <xf numFmtId="43" fontId="31" fillId="0" borderId="0" applyAlignment="1">
      <alignment horizontal="right"/>
    </xf>
    <xf numFmtId="43" fontId="31" fillId="0" borderId="0" applyAlignment="1">
      <alignment horizontal="right"/>
    </xf>
    <xf numFmtId="43" fontId="31" fillId="0" borderId="0" applyAlignment="1">
      <alignment horizontal="right"/>
    </xf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37" fontId="38" fillId="0" borderId="0" applyAlignment="1">
      <alignment horizontal="center"/>
    </xf>
    <xf numFmtId="0" fontId="38" fillId="0" borderId="0"/>
    <xf numFmtId="0" fontId="59" fillId="0" borderId="0"/>
    <xf numFmtId="268" fontId="4" fillId="0" borderId="0"/>
    <xf numFmtId="269" fontId="4" fillId="0" borderId="0"/>
    <xf numFmtId="170" fontId="4" fillId="0" borderId="0"/>
    <xf numFmtId="181" fontId="4" fillId="0" borderId="0"/>
    <xf numFmtId="184" fontId="4" fillId="0" borderId="0"/>
    <xf numFmtId="268" fontId="4" fillId="0" borderId="0"/>
    <xf numFmtId="185" fontId="4" fillId="0" borderId="0"/>
    <xf numFmtId="269" fontId="4" fillId="0" borderId="0"/>
    <xf numFmtId="164" fontId="4" fillId="0" borderId="0"/>
    <xf numFmtId="261" fontId="4" fillId="37" borderId="0"/>
    <xf numFmtId="0" fontId="68" fillId="0" borderId="0"/>
    <xf numFmtId="270" fontId="4" fillId="0" borderId="40"/>
    <xf numFmtId="0" fontId="10" fillId="0" borderId="0"/>
    <xf numFmtId="261" fontId="4" fillId="0" borderId="0"/>
    <xf numFmtId="8" fontId="295" fillId="0" borderId="30" applyAlignment="1">
      <alignment horizontal="right"/>
    </xf>
    <xf numFmtId="0" fontId="15" fillId="0" borderId="0" applyAlignment="1">
      <alignment horizontal="center" wrapText="1"/>
    </xf>
    <xf numFmtId="0" fontId="90" fillId="0" borderId="0"/>
    <xf numFmtId="1" fontId="91" fillId="0" borderId="0"/>
    <xf numFmtId="261" fontId="92" fillId="0" borderId="0" applyAlignment="1">
      <alignment horizontal="right"/>
    </xf>
    <xf numFmtId="0" fontId="3" fillId="0" borderId="17"/>
    <xf numFmtId="0" fontId="93" fillId="2" borderId="17"/>
    <xf numFmtId="1" fontId="53" fillId="0" borderId="0" applyProtection="1">
      <protection locked="0" hidden="0"/>
    </xf>
    <xf numFmtId="0" fontId="94" fillId="0" borderId="0"/>
    <xf numFmtId="0" fontId="38" fillId="0" borderId="0"/>
    <xf numFmtId="0" fontId="95" fillId="0" borderId="11" applyAlignment="1">
      <alignment horizontal="center"/>
    </xf>
    <xf numFmtId="0" fontId="96" fillId="0" borderId="11" applyAlignment="1">
      <alignment horizontal="left" vertical="center"/>
    </xf>
    <xf numFmtId="0" fontId="56" fillId="0" borderId="0" applyAlignment="1" applyProtection="1">
      <alignment horizontal="center" wrapText="1"/>
      <protection locked="1" hidden="1"/>
    </xf>
    <xf numFmtId="0" fontId="97" fillId="0" borderId="38" applyAlignment="1">
      <alignment horizontal="center" vertical="center"/>
    </xf>
    <xf numFmtId="0" fontId="98" fillId="0" borderId="11" applyAlignment="1">
      <alignment horizontal="right" vertical="center"/>
    </xf>
    <xf numFmtId="0" fontId="99" fillId="38" borderId="17" applyAlignment="1">
      <alignment horizontal="center" vertical="center" wrapText="1"/>
    </xf>
    <xf numFmtId="256" fontId="4" fillId="0" borderId="0" applyAlignment="1">
      <alignment horizontal="center"/>
    </xf>
    <xf numFmtId="0" fontId="100" fillId="0" borderId="0" applyAlignment="1">
      <alignment horizontal="right"/>
    </xf>
    <xf numFmtId="0" fontId="27" fillId="39" borderId="41" applyAlignment="1">
      <alignment horizontal="right"/>
    </xf>
    <xf numFmtId="164" fontId="101" fillId="0" borderId="11" applyAlignment="1">
      <alignment horizontal="center"/>
    </xf>
    <xf numFmtId="0" fontId="56" fillId="0" borderId="0" applyAlignment="1">
      <alignment horizontal="right" vertical="top"/>
    </xf>
    <xf numFmtId="1" fontId="102" fillId="0" borderId="42" applyAlignment="1">
      <alignment vertical="top"/>
    </xf>
    <xf numFmtId="226" fontId="103" fillId="0" borderId="0"/>
    <xf numFmtId="226" fontId="103" fillId="0" borderId="0"/>
    <xf numFmtId="226" fontId="103" fillId="0" borderId="0"/>
    <xf numFmtId="226" fontId="103" fillId="0" borderId="0"/>
    <xf numFmtId="226" fontId="103" fillId="0" borderId="0"/>
    <xf numFmtId="226" fontId="103" fillId="0" borderId="0"/>
    <xf numFmtId="226" fontId="103" fillId="0" borderId="0"/>
    <xf numFmtId="226" fontId="103" fillId="0" borderId="0"/>
    <xf numFmtId="271" fontId="104" fillId="32" borderId="0"/>
    <xf numFmtId="37" fontId="4" fillId="0" borderId="0"/>
    <xf numFmtId="164" fontId="4" fillId="0" borderId="0"/>
    <xf numFmtId="272" fontId="104" fillId="0" borderId="0" applyAlignment="1">
      <alignment horizontal="left" indent="1"/>
    </xf>
    <xf numFmtId="39" fontId="4" fillId="14" borderId="0"/>
    <xf numFmtId="41" fontId="105" fillId="0" borderId="0" applyAlignment="1">
      <alignment horizontal="right"/>
    </xf>
    <xf numFmtId="41" fontId="15" fillId="0" borderId="8"/>
    <xf numFmtId="268" fontId="4" fillId="0" borderId="0"/>
    <xf numFmtId="179" fontId="106" fillId="0" borderId="0"/>
    <xf numFmtId="179" fontId="15" fillId="0" borderId="8"/>
    <xf numFmtId="164" fontId="35" fillId="0" borderId="0"/>
    <xf numFmtId="39" fontId="35" fillId="0" borderId="0"/>
    <xf numFmtId="168" fontId="4" fillId="0" borderId="8"/>
    <xf numFmtId="43" fontId="5" fillId="0" borderId="0"/>
    <xf numFmtId="244" fontId="35" fillId="0" borderId="0"/>
    <xf numFmtId="273" fontId="4" fillId="0" borderId="0"/>
    <xf numFmtId="0" fontId="107" fillId="0" borderId="0" applyAlignment="1">
      <alignment horizontal="right"/>
    </xf>
    <xf numFmtId="0" fontId="107" fillId="0" borderId="0"/>
    <xf numFmtId="274" fontId="4" fillId="0" borderId="0"/>
    <xf numFmtId="0" fontId="107" fillId="0" borderId="0" applyAlignment="1">
      <alignment horizontal="right"/>
    </xf>
    <xf numFmtId="275" fontId="4" fillId="0" borderId="0"/>
    <xf numFmtId="40" fontId="295" fillId="0" borderId="0" applyAlignment="1">
      <alignment horizontal="right"/>
    </xf>
    <xf numFmtId="269" fontId="4" fillId="0" borderId="0"/>
    <xf numFmtId="164" fontId="4" fillId="0" borderId="0"/>
    <xf numFmtId="3" fontId="29" fillId="0" borderId="0"/>
    <xf numFmtId="251" fontId="108" fillId="0" borderId="0"/>
    <xf numFmtId="0" fontId="109" fillId="0" borderId="0"/>
    <xf numFmtId="276" fontId="108" fillId="0" borderId="0"/>
    <xf numFmtId="255" fontId="110" fillId="0" borderId="0" applyAlignment="1" applyProtection="1">
      <alignment horizontal="right"/>
      <protection locked="0" hidden="0"/>
    </xf>
    <xf numFmtId="0" fontId="295" fillId="40" borderId="0" applyAlignment="1">
      <alignment horizontal="center" vertical="center" wrapText="1"/>
    </xf>
    <xf numFmtId="164" fontId="111" fillId="0" borderId="0"/>
    <xf numFmtId="277" fontId="94" fillId="0" borderId="0" applyAlignment="1">
      <alignment horizontal="left"/>
    </xf>
    <xf numFmtId="176" fontId="112" fillId="0" borderId="0"/>
    <xf numFmtId="0" fontId="113" fillId="0" borderId="0" applyAlignment="1">
      <alignment horizontal="left"/>
    </xf>
    <xf numFmtId="0" fontId="114" fillId="0" borderId="0"/>
    <xf numFmtId="0" fontId="115" fillId="0" borderId="0" applyAlignment="1">
      <alignment horizontal="left"/>
    </xf>
    <xf numFmtId="0" fontId="38" fillId="0" borderId="11" applyAlignment="1">
      <alignment horizontal="centerContinuous"/>
    </xf>
    <xf numFmtId="0" fontId="38" fillId="0" borderId="0" applyAlignment="1" applyProtection="1">
      <alignment horizontal="right"/>
      <protection locked="0" hidden="0"/>
    </xf>
    <xf numFmtId="278" fontId="4" fillId="0" borderId="43"/>
    <xf numFmtId="223" fontId="4" fillId="0" borderId="8"/>
    <xf numFmtId="269" fontId="4" fillId="0" borderId="0"/>
    <xf numFmtId="247" fontId="295" fillId="0" borderId="0"/>
    <xf numFmtId="191" fontId="4" fillId="0" borderId="8"/>
    <xf numFmtId="187" fontId="4" fillId="0" borderId="0"/>
    <xf numFmtId="279" fontId="116" fillId="0" borderId="0"/>
    <xf numFmtId="44" fontId="15" fillId="0" borderId="8"/>
    <xf numFmtId="280" fontId="4" fillId="0" borderId="0"/>
    <xf numFmtId="277" fontId="4" fillId="0" borderId="0"/>
    <xf numFmtId="281" fontId="117" fillId="0" borderId="0"/>
    <xf numFmtId="0" fontId="107" fillId="0" borderId="0" applyAlignment="1">
      <alignment horizontal="right"/>
    </xf>
    <xf numFmtId="0" fontId="107" fillId="0" borderId="0" applyAlignment="1">
      <alignment horizontal="right"/>
    </xf>
    <xf numFmtId="7" fontId="15" fillId="0" borderId="8"/>
    <xf numFmtId="197" fontId="4" fillId="0" borderId="0"/>
    <xf numFmtId="0" fontId="107" fillId="0" borderId="0" applyAlignment="1">
      <alignment horizontal="right"/>
    </xf>
    <xf numFmtId="282" fontId="4" fillId="0" borderId="0"/>
    <xf numFmtId="283" fontId="295" fillId="0" borderId="0"/>
    <xf numFmtId="8" fontId="56" fillId="14" borderId="0"/>
    <xf numFmtId="268" fontId="4" fillId="0" borderId="0"/>
    <xf numFmtId="241" fontId="295" fillId="0" borderId="0"/>
    <xf numFmtId="245" fontId="4" fillId="0" borderId="0" applyAlignment="1">
      <alignment vertical="center"/>
    </xf>
    <xf numFmtId="15" fontId="27" fillId="0" borderId="0"/>
    <xf numFmtId="225" fontId="38" fillId="0" borderId="0"/>
    <xf numFmtId="186" fontId="4" fillId="0" borderId="0" applyAlignment="1">
      <alignment horizontal="right"/>
    </xf>
    <xf numFmtId="186" fontId="24" fillId="0" borderId="0"/>
    <xf numFmtId="15" fontId="118" fillId="0" borderId="8" applyAlignment="1">
      <alignment horizontal="center"/>
    </xf>
    <xf numFmtId="284" fontId="4" fillId="0" borderId="0"/>
    <xf numFmtId="285" fontId="4" fillId="0" borderId="0"/>
    <xf numFmtId="15" fontId="24" fillId="0" borderId="0"/>
    <xf numFmtId="276" fontId="4" fillId="0" borderId="0"/>
    <xf numFmtId="286" fontId="4" fillId="0" borderId="0"/>
    <xf numFmtId="287" fontId="4" fillId="0" borderId="0"/>
    <xf numFmtId="288" fontId="4" fillId="0" borderId="0"/>
    <xf numFmtId="289" fontId="4" fillId="0" borderId="0"/>
    <xf numFmtId="37" fontId="295" fillId="3" borderId="0"/>
    <xf numFmtId="223" fontId="295" fillId="3" borderId="44"/>
    <xf numFmtId="290" fontId="4" fillId="0" borderId="0"/>
    <xf numFmtId="278" fontId="4" fillId="0" borderId="0"/>
    <xf numFmtId="291" fontId="4" fillId="3" borderId="0"/>
    <xf numFmtId="17" fontId="24" fillId="0" borderId="0" applyAlignment="1">
      <alignment horizontal="right"/>
    </xf>
    <xf numFmtId="292" fontId="24" fillId="0" borderId="11"/>
    <xf numFmtId="293" fontId="4" fillId="0" borderId="0"/>
    <xf numFmtId="294" fontId="4" fillId="0" borderId="0"/>
    <xf numFmtId="238" fontId="4" fillId="0" borderId="0"/>
    <xf numFmtId="0" fontId="107" fillId="0" borderId="0"/>
    <xf numFmtId="295" fontId="4" fillId="0" borderId="0"/>
    <xf numFmtId="14" fontId="14" fillId="0" borderId="0"/>
    <xf numFmtId="14" fontId="24" fillId="2" borderId="5" applyAlignment="1">
      <alignment horizontal="right"/>
    </xf>
    <xf numFmtId="223" fontId="4" fillId="0" borderId="0" applyAlignment="1">
      <alignment horizontal="right"/>
    </xf>
    <xf numFmtId="15" fontId="32" fillId="0" borderId="0" applyAlignment="1">
      <alignment horizontal="center"/>
    </xf>
    <xf numFmtId="14" fontId="68" fillId="0" borderId="0" applyAlignment="1">
      <alignment horizontal="center"/>
    </xf>
    <xf numFmtId="0" fontId="68" fillId="0" borderId="0" applyAlignment="1">
      <alignment horizontal="center"/>
    </xf>
    <xf numFmtId="296" fontId="4" fillId="0" borderId="0"/>
    <xf numFmtId="297" fontId="4" fillId="0" borderId="0"/>
    <xf numFmtId="298" fontId="295" fillId="0" borderId="0"/>
    <xf numFmtId="190" fontId="295" fillId="0" borderId="0"/>
    <xf numFmtId="43" fontId="295" fillId="0" borderId="0"/>
    <xf numFmtId="0" fontId="119" fillId="0" borderId="0" applyProtection="1">
      <protection locked="0" hidden="0"/>
    </xf>
    <xf numFmtId="15" fontId="4" fillId="0" borderId="0"/>
    <xf numFmtId="299" fontId="90" fillId="0" borderId="0"/>
    <xf numFmtId="7" fontId="4" fillId="0" borderId="0"/>
    <xf numFmtId="300" fontId="74" fillId="0" borderId="0"/>
    <xf numFmtId="301" fontId="120" fillId="0" borderId="0"/>
    <xf numFmtId="0" fontId="54" fillId="0" borderId="0"/>
    <xf numFmtId="0" fontId="32" fillId="0" borderId="0"/>
    <xf numFmtId="0" fontId="107" fillId="0" borderId="45"/>
    <xf numFmtId="42" fontId="121" fillId="0" borderId="0"/>
    <xf numFmtId="256" fontId="4" fillId="0" borderId="19"/>
    <xf numFmtId="38" fontId="4" fillId="13" borderId="0"/>
    <xf numFmtId="168" fontId="122" fillId="0" borderId="46" applyAlignment="1">
      <alignment vertical="top"/>
    </xf>
    <xf numFmtId="0" fontId="4" fillId="2" borderId="0"/>
    <xf numFmtId="168" fontId="123" fillId="0" borderId="47" applyAlignment="1">
      <alignment vertical="top"/>
    </xf>
    <xf numFmtId="208" fontId="124" fillId="0" borderId="0" applyProtection="1">
      <protection locked="0" hidden="0"/>
    </xf>
    <xf numFmtId="208" fontId="124" fillId="0" borderId="0" applyProtection="1">
      <protection locked="0" hidden="0"/>
    </xf>
    <xf numFmtId="176" fontId="27" fillId="0" borderId="48"/>
    <xf numFmtId="268" fontId="4" fillId="0" borderId="0"/>
    <xf numFmtId="269" fontId="4" fillId="0" borderId="0"/>
    <xf numFmtId="268" fontId="4" fillId="0" borderId="0"/>
    <xf numFmtId="185" fontId="4" fillId="0" borderId="0"/>
    <xf numFmtId="269" fontId="4" fillId="0" borderId="0"/>
    <xf numFmtId="8" fontId="32" fillId="0" borderId="0" applyAlignment="1">
      <alignment horizontal="right"/>
    </xf>
    <xf numFmtId="239" fontId="35" fillId="0" borderId="0" applyAlignment="1" applyProtection="1">
      <alignment horizontal="left"/>
      <protection locked="0" hidden="0"/>
    </xf>
    <xf numFmtId="240" fontId="35" fillId="0" borderId="0" applyAlignment="1" applyProtection="1">
      <alignment horizontal="left"/>
      <protection locked="0" hidden="0"/>
    </xf>
    <xf numFmtId="255" fontId="125" fillId="0" borderId="0"/>
    <xf numFmtId="286" fontId="295" fillId="0" borderId="0"/>
    <xf numFmtId="168" fontId="295" fillId="0" borderId="0"/>
    <xf numFmtId="242" fontId="295" fillId="0" borderId="0"/>
    <xf numFmtId="302" fontId="4" fillId="0" borderId="0"/>
    <xf numFmtId="303" fontId="4" fillId="0" borderId="0"/>
    <xf numFmtId="0" fontId="38" fillId="0" borderId="0"/>
    <xf numFmtId="0" fontId="4" fillId="0" borderId="0" applyAlignment="1">
      <alignment horizontal="right" vertical="top"/>
    </xf>
    <xf numFmtId="212" fontId="4" fillId="0" borderId="0" applyAlignment="1">
      <alignment horizontal="right" vertical="top"/>
    </xf>
    <xf numFmtId="212" fontId="4" fillId="0" borderId="0" applyAlignment="1">
      <alignment horizontal="right" vertical="top"/>
    </xf>
    <xf numFmtId="267" fontId="4" fillId="0" borderId="0" applyAlignment="1">
      <alignment horizontal="right" vertical="top"/>
    </xf>
    <xf numFmtId="245" fontId="4" fillId="0" borderId="0" applyAlignment="1">
      <alignment horizontal="right" vertical="top"/>
    </xf>
    <xf numFmtId="210" fontId="4" fillId="0" borderId="0" applyAlignment="1">
      <alignment horizontal="right" vertical="top"/>
    </xf>
    <xf numFmtId="216" fontId="4" fillId="0" borderId="0" applyAlignment="1">
      <alignment horizontal="right" vertical="top"/>
    </xf>
    <xf numFmtId="0" fontId="126" fillId="0" borderId="0" applyAlignment="1">
      <alignment horizontal="center" wrapText="1"/>
    </xf>
    <xf numFmtId="216" fontId="94" fillId="0" borderId="0" applyAlignment="1">
      <alignment vertical="top"/>
    </xf>
    <xf numFmtId="216" fontId="99" fillId="0" borderId="0" applyAlignment="1">
      <alignment vertical="top"/>
    </xf>
    <xf numFmtId="216" fontId="127" fillId="0" borderId="0" applyAlignment="1">
      <alignment vertical="top"/>
    </xf>
    <xf numFmtId="41" fontId="128" fillId="0" borderId="0" applyAlignment="1">
      <alignment horizontal="right" vertical="top"/>
    </xf>
    <xf numFmtId="216" fontId="30" fillId="0" borderId="0"/>
    <xf numFmtId="0" fontId="128" fillId="0" borderId="0" applyAlignment="1">
      <alignment horizontal="left" vertical="top"/>
    </xf>
    <xf numFmtId="270" fontId="74" fillId="41" borderId="13" applyAlignment="1">
      <alignment horizontal="left"/>
    </xf>
    <xf numFmtId="304" fontId="119" fillId="0" borderId="0" applyProtection="1">
      <protection locked="0" hidden="0"/>
    </xf>
    <xf numFmtId="184" fontId="119" fillId="0" borderId="0" applyProtection="1">
      <protection locked="0" hidden="0"/>
    </xf>
    <xf numFmtId="246" fontId="90" fillId="0" borderId="0"/>
    <xf numFmtId="171" fontId="295" fillId="3" borderId="0"/>
    <xf numFmtId="2" fontId="29" fillId="0" borderId="0"/>
    <xf numFmtId="0" fontId="129" fillId="0" borderId="0" applyAlignment="1">
      <alignment horizontal="left"/>
    </xf>
    <xf numFmtId="0" fontId="130" fillId="0" borderId="0" applyAlignment="1">
      <alignment horizontal="left"/>
    </xf>
    <xf numFmtId="0" fontId="131" fillId="0" borderId="0" applyAlignment="1">
      <alignment horizontal="left"/>
    </xf>
    <xf numFmtId="0" fontId="131" fillId="0" borderId="0" applyAlignment="1">
      <alignment horizontal="left"/>
    </xf>
    <xf numFmtId="0" fontId="32" fillId="0" borderId="0" applyAlignment="1">
      <alignment horizontal="left"/>
    </xf>
    <xf numFmtId="305" fontId="4" fillId="0" borderId="0"/>
    <xf numFmtId="306" fontId="4" fillId="0" borderId="0"/>
    <xf numFmtId="307" fontId="4" fillId="0" borderId="0"/>
    <xf numFmtId="203" fontId="4" fillId="0" borderId="0"/>
    <xf numFmtId="223" fontId="32" fillId="0" borderId="0" applyProtection="1">
      <protection locked="0" hidden="0"/>
    </xf>
    <xf numFmtId="0" fontId="132" fillId="0" borderId="0" applyAlignment="1">
      <alignment horizontal="center" wrapText="1"/>
    </xf>
    <xf numFmtId="280" fontId="4" fillId="0" borderId="0" applyAlignment="1">
      <alignment horizontal="right"/>
    </xf>
    <xf numFmtId="2" fontId="295" fillId="3" borderId="4" applyAlignment="1">
      <alignment horizontal="center"/>
    </xf>
    <xf numFmtId="38" fontId="4" fillId="13" borderId="0" applyProtection="1">
      <protection locked="1" hidden="1"/>
    </xf>
    <xf numFmtId="0" fontId="133" fillId="0" borderId="0"/>
    <xf numFmtId="282" fontId="134" fillId="0" borderId="0" applyAlignment="1" applyProtection="1">
      <alignment horizontal="left"/>
      <protection locked="0" hidden="0"/>
    </xf>
    <xf numFmtId="236" fontId="4" fillId="0" borderId="0"/>
    <xf numFmtId="237" fontId="4" fillId="0" borderId="0"/>
    <xf numFmtId="0" fontId="35" fillId="0" borderId="0"/>
    <xf numFmtId="308" fontId="4" fillId="0" borderId="0" applyAlignment="1">
      <alignment horizontal="right"/>
    </xf>
    <xf numFmtId="0" fontId="295" fillId="0" borderId="0" applyAlignment="1">
      <alignment horizontal="right"/>
    </xf>
    <xf numFmtId="9" fontId="106" fillId="0" borderId="0" applyAlignment="1">
      <alignment horizontal="right"/>
    </xf>
    <xf numFmtId="0" fontId="295" fillId="0" borderId="0" applyAlignment="1">
      <alignment horizontal="right"/>
    </xf>
    <xf numFmtId="269" fontId="135" fillId="0" borderId="0"/>
    <xf numFmtId="0" fontId="4" fillId="0" borderId="0"/>
    <xf numFmtId="309" fontId="24" fillId="3" borderId="17"/>
    <xf numFmtId="0" fontId="107" fillId="0" borderId="0" applyAlignment="1">
      <alignment horizontal="right"/>
    </xf>
    <xf numFmtId="305" fontId="295" fillId="0" borderId="0" applyAlignment="1">
      <alignment horizontal="right"/>
    </xf>
    <xf numFmtId="0" fontId="8" fillId="0" borderId="0" applyAlignment="1">
      <alignment horizontal="right"/>
    </xf>
    <xf numFmtId="0" fontId="136" fillId="42" borderId="0" applyAlignment="1">
      <alignment horizontal="left" vertical="center"/>
    </xf>
    <xf numFmtId="0" fontId="137" fillId="1" borderId="0" applyAlignment="1">
      <alignment horizontal="left" vertical="center"/>
    </xf>
    <xf numFmtId="0" fontId="138" fillId="0" borderId="0" applyAlignment="1">
      <alignment horizontal="right"/>
    </xf>
    <xf numFmtId="0" fontId="139" fillId="0" borderId="0" applyAlignment="1">
      <alignment horizontal="left"/>
    </xf>
    <xf numFmtId="0" fontId="139" fillId="0" borderId="0" applyAlignment="1">
      <alignment horizontal="left"/>
    </xf>
    <xf numFmtId="0" fontId="15" fillId="0" borderId="24" applyAlignment="1">
      <alignment horizontal="left" vertical="center"/>
    </xf>
    <xf numFmtId="0" fontId="15" fillId="0" borderId="2" applyAlignment="1">
      <alignment horizontal="left" vertical="center"/>
    </xf>
    <xf numFmtId="0" fontId="41" fillId="0" borderId="0" applyAlignment="1">
      <alignment horizontal="right"/>
    </xf>
    <xf numFmtId="0" fontId="140" fillId="0" borderId="0" applyAlignment="1">
      <alignment horizontal="left"/>
    </xf>
    <xf numFmtId="0" fontId="141" fillId="0" borderId="13" applyAlignment="1">
      <alignment horizontal="left" vertical="top"/>
    </xf>
    <xf numFmtId="0" fontId="142" fillId="0" borderId="0" applyAlignment="1">
      <alignment horizontal="left"/>
    </xf>
    <xf numFmtId="0" fontId="143" fillId="0" borderId="13" applyAlignment="1">
      <alignment horizontal="left" vertical="top"/>
    </xf>
    <xf numFmtId="0" fontId="144" fillId="0" borderId="0" applyAlignment="1">
      <alignment horizontal="left"/>
    </xf>
    <xf numFmtId="0" fontId="145" fillId="0" borderId="0"/>
    <xf numFmtId="249" fontId="146" fillId="9" borderId="0"/>
    <xf numFmtId="249" fontId="146" fillId="16" borderId="0"/>
    <xf numFmtId="249" fontId="146" fillId="2" borderId="0"/>
    <xf numFmtId="187" fontId="35" fillId="0" borderId="0"/>
    <xf numFmtId="187" fontId="295" fillId="0" borderId="0"/>
    <xf numFmtId="176" fontId="147" fillId="43" borderId="0"/>
    <xf numFmtId="168" fontId="148" fillId="0" borderId="0"/>
    <xf numFmtId="164" fontId="149" fillId="0" borderId="0" applyAlignment="1">
      <alignment horizontal="right"/>
    </xf>
    <xf numFmtId="164" fontId="8" fillId="0" borderId="0"/>
    <xf numFmtId="257" fontId="148" fillId="0" borderId="0"/>
    <xf numFmtId="0" fontId="59" fillId="0" borderId="0" applyAlignment="1">
      <alignment horizontal="center"/>
    </xf>
    <xf numFmtId="8" fontId="4" fillId="28" borderId="0" applyAlignment="1" applyProtection="1">
      <alignment horizontal="right"/>
      <protection locked="0" hidden="0"/>
    </xf>
    <xf numFmtId="176" fontId="8" fillId="0" borderId="0"/>
    <xf numFmtId="38" fontId="32" fillId="0" borderId="0" applyProtection="1">
      <protection locked="0" hidden="0"/>
    </xf>
    <xf numFmtId="310" fontId="4" fillId="0" borderId="0" applyAlignment="1">
      <alignment horizontal="left"/>
    </xf>
    <xf numFmtId="239" fontId="4" fillId="0" borderId="0" applyAlignment="1">
      <alignment horizontal="left"/>
    </xf>
    <xf numFmtId="240" fontId="4" fillId="0" borderId="0" applyAlignment="1">
      <alignment horizontal="left"/>
    </xf>
    <xf numFmtId="241" fontId="4" fillId="0" borderId="0" applyAlignment="1">
      <alignment horizontal="left"/>
    </xf>
    <xf numFmtId="186" fontId="27" fillId="0" borderId="0"/>
    <xf numFmtId="168" fontId="150" fillId="13" borderId="0" applyProtection="1">
      <protection locked="0" hidden="0"/>
    </xf>
    <xf numFmtId="165" fontId="149" fillId="3" borderId="0"/>
    <xf numFmtId="10" fontId="4" fillId="3" borderId="17"/>
    <xf numFmtId="3" fontId="151" fillId="13" borderId="0" applyAlignment="1" applyProtection="1">
      <alignment horizontal="right"/>
      <protection locked="0" hidden="0"/>
    </xf>
    <xf numFmtId="176" fontId="150" fillId="13" borderId="0" applyAlignment="1" applyProtection="1">
      <alignment horizontal="right"/>
      <protection locked="0" hidden="0"/>
    </xf>
    <xf numFmtId="197" fontId="149" fillId="3" borderId="0"/>
    <xf numFmtId="8" fontId="4" fillId="3" borderId="0" applyProtection="1">
      <protection locked="0" hidden="0"/>
    </xf>
    <xf numFmtId="223" fontId="295" fillId="3" borderId="0" applyProtection="1">
      <protection locked="0" hidden="0"/>
    </xf>
    <xf numFmtId="171" fontId="295" fillId="3" borderId="0" applyProtection="1">
      <protection locked="0" hidden="0"/>
    </xf>
    <xf numFmtId="0" fontId="152" fillId="0" borderId="0"/>
    <xf numFmtId="254" fontId="149" fillId="3" borderId="0"/>
    <xf numFmtId="223" fontId="4" fillId="3" borderId="0" applyProtection="1">
      <protection locked="0" hidden="0"/>
    </xf>
    <xf numFmtId="37" fontId="149" fillId="3" borderId="0"/>
    <xf numFmtId="164" fontId="149" fillId="3" borderId="0"/>
    <xf numFmtId="0" fontId="3" fillId="2" borderId="0"/>
    <xf numFmtId="308" fontId="4" fillId="3" borderId="0" applyProtection="1">
      <protection locked="0" hidden="0"/>
    </xf>
    <xf numFmtId="10" fontId="4" fillId="3" borderId="0" applyProtection="1">
      <protection locked="0" hidden="0"/>
    </xf>
    <xf numFmtId="277" fontId="295" fillId="3" borderId="0" applyProtection="1">
      <protection locked="0" hidden="0"/>
    </xf>
    <xf numFmtId="223" fontId="93" fillId="3" borderId="0" applyProtection="1">
      <protection locked="0" hidden="0"/>
    </xf>
    <xf numFmtId="311" fontId="149" fillId="0" borderId="0" applyAlignment="1">
      <alignment horizontal="right"/>
    </xf>
    <xf numFmtId="308" fontId="153" fillId="3" borderId="17"/>
    <xf numFmtId="38" fontId="153" fillId="3" borderId="17"/>
    <xf numFmtId="40" fontId="153" fillId="3" borderId="17"/>
    <xf numFmtId="0" fontId="149" fillId="0" borderId="0" applyProtection="1">
      <protection locked="0" hidden="0"/>
    </xf>
    <xf numFmtId="0" fontId="154" fillId="0" borderId="0"/>
    <xf numFmtId="312" fontId="4" fillId="0" borderId="0" applyAlignment="1">
      <alignment vertical="center"/>
    </xf>
    <xf numFmtId="245" fontId="4" fillId="0" borderId="0" applyAlignment="1">
      <alignment vertical="center"/>
    </xf>
    <xf numFmtId="14" fontId="149" fillId="3" borderId="94" applyAlignment="1">
      <alignment horizontal="right"/>
    </xf>
    <xf numFmtId="0" fontId="155" fillId="0" borderId="0"/>
    <xf numFmtId="313" fontId="4" fillId="0" borderId="0" applyAlignment="1">
      <alignment vertical="center"/>
    </xf>
    <xf numFmtId="314" fontId="149" fillId="3" borderId="49"/>
    <xf numFmtId="315" fontId="4" fillId="0" borderId="0" applyAlignment="1">
      <alignment vertical="center"/>
    </xf>
    <xf numFmtId="223" fontId="4" fillId="3" borderId="0" applyAlignment="1" applyProtection="1">
      <alignment horizontal="center"/>
      <protection locked="0" hidden="0"/>
    </xf>
    <xf numFmtId="316" fontId="90" fillId="0" borderId="0"/>
    <xf numFmtId="0" fontId="38" fillId="0" borderId="0" applyAlignment="1" applyProtection="1">
      <alignment horizontal="right"/>
      <protection locked="0" hidden="0"/>
    </xf>
    <xf numFmtId="0" fontId="295" fillId="20" borderId="50" applyAlignment="1">
      <alignment horizontal="left" vertical="center" wrapText="1"/>
    </xf>
    <xf numFmtId="317" fontId="4" fillId="0" borderId="0"/>
    <xf numFmtId="257" fontId="4" fillId="0" borderId="0"/>
    <xf numFmtId="38" fontId="156" fillId="0" borderId="0"/>
    <xf numFmtId="38" fontId="157" fillId="0" borderId="0"/>
    <xf numFmtId="38" fontId="82" fillId="0" borderId="0"/>
    <xf numFmtId="38" fontId="158" fillId="0" borderId="0"/>
    <xf numFmtId="0" fontId="55" fillId="0" borderId="0"/>
    <xf numFmtId="0" fontId="55" fillId="0" borderId="0"/>
    <xf numFmtId="0" fontId="35" fillId="44" borderId="0"/>
    <xf numFmtId="186" fontId="295" fillId="0" borderId="0"/>
    <xf numFmtId="255" fontId="133" fillId="0" borderId="0"/>
    <xf numFmtId="268" fontId="4" fillId="0" borderId="0"/>
    <xf numFmtId="269" fontId="4" fillId="0" borderId="0"/>
    <xf numFmtId="268" fontId="4" fillId="0" borderId="0"/>
    <xf numFmtId="185" fontId="4" fillId="0" borderId="0"/>
    <xf numFmtId="269" fontId="4" fillId="0" borderId="0"/>
    <xf numFmtId="164" fontId="159" fillId="0" borderId="0" applyProtection="1">
      <protection locked="1" hidden="1"/>
    </xf>
    <xf numFmtId="0" fontId="160" fillId="0" borderId="3" applyAlignment="1">
      <alignment horizontal="left"/>
    </xf>
    <xf numFmtId="0" fontId="161" fillId="0" borderId="0" applyAlignment="1">
      <alignment horizontal="left"/>
    </xf>
    <xf numFmtId="318" fontId="295" fillId="0" borderId="0"/>
    <xf numFmtId="14" fontId="24" fillId="0" borderId="11"/>
    <xf numFmtId="3" fontId="295" fillId="0" borderId="0"/>
    <xf numFmtId="0" fontId="162" fillId="0" borderId="11"/>
    <xf numFmtId="0" fontId="163" fillId="0" borderId="0" applyAlignment="1">
      <alignment horizontal="left" vertical="center"/>
    </xf>
    <xf numFmtId="0" fontId="164" fillId="0" borderId="0"/>
    <xf numFmtId="212" fontId="56" fillId="0" borderId="0"/>
    <xf numFmtId="319" fontId="38" fillId="0" borderId="0"/>
    <xf numFmtId="38" fontId="56" fillId="0" borderId="0"/>
    <xf numFmtId="40" fontId="56" fillId="0" borderId="0"/>
    <xf numFmtId="320" fontId="4" fillId="0" borderId="0"/>
    <xf numFmtId="198" fontId="4" fillId="0" borderId="0"/>
    <xf numFmtId="275" fontId="4" fillId="0" borderId="51" applyAlignment="1">
      <alignment horizontal="center"/>
    </xf>
    <xf numFmtId="321" fontId="295" fillId="0" borderId="0"/>
    <xf numFmtId="37" fontId="72" fillId="0" borderId="0"/>
    <xf numFmtId="320" fontId="66" fillId="0" borderId="0"/>
    <xf numFmtId="283" fontId="4" fillId="0" borderId="0"/>
    <xf numFmtId="322" fontId="72" fillId="0" borderId="0"/>
    <xf numFmtId="323" fontId="72" fillId="0" borderId="0"/>
    <xf numFmtId="315" fontId="4" fillId="0" borderId="0"/>
    <xf numFmtId="312" fontId="4" fillId="0" borderId="0"/>
    <xf numFmtId="3" fontId="38" fillId="0" borderId="0"/>
    <xf numFmtId="236" fontId="4" fillId="45" borderId="0" applyAlignment="1" applyProtection="1">
      <alignment horizontal="center"/>
      <protection locked="0" hidden="0"/>
    </xf>
    <xf numFmtId="3" fontId="38" fillId="0" borderId="0"/>
    <xf numFmtId="324" fontId="4" fillId="0" borderId="0"/>
    <xf numFmtId="313" fontId="4" fillId="0" borderId="0"/>
    <xf numFmtId="185" fontId="119" fillId="0" borderId="0" applyProtection="1">
      <protection locked="0" hidden="0"/>
    </xf>
    <xf numFmtId="3" fontId="56" fillId="0" borderId="0"/>
    <xf numFmtId="17" fontId="4" fillId="0" borderId="0" applyAlignment="1">
      <alignment horizontal="right"/>
    </xf>
    <xf numFmtId="292" fontId="4" fillId="3" borderId="0" applyAlignment="1">
      <alignment horizontal="center"/>
    </xf>
    <xf numFmtId="294" fontId="4" fillId="0" borderId="0"/>
    <xf numFmtId="0" fontId="107" fillId="0" borderId="0" applyAlignment="1">
      <alignment horizontal="right"/>
    </xf>
    <xf numFmtId="325" fontId="32" fillId="0" borderId="0"/>
    <xf numFmtId="0" fontId="38" fillId="0" borderId="0"/>
    <xf numFmtId="322" fontId="32" fillId="0" borderId="0"/>
    <xf numFmtId="283" fontId="4" fillId="0" borderId="0"/>
    <xf numFmtId="0" fontId="72" fillId="0" borderId="0" applyAlignment="1">
      <alignment horizontal="right"/>
    </xf>
    <xf numFmtId="0" fontId="4" fillId="0" borderId="0" applyAlignment="1">
      <alignment horizontal="right"/>
    </xf>
    <xf numFmtId="168" fontId="295" fillId="3" borderId="1" applyAlignment="1">
      <alignment horizontal="right"/>
    </xf>
    <xf numFmtId="275" fontId="4" fillId="14" borderId="0"/>
    <xf numFmtId="245" fontId="38" fillId="0" borderId="0"/>
    <xf numFmtId="179" fontId="38" fillId="0" borderId="0"/>
    <xf numFmtId="43" fontId="38" fillId="0" borderId="0"/>
    <xf numFmtId="198" fontId="295" fillId="13" borderId="0" applyAlignment="1" applyProtection="1">
      <alignment horizontal="right"/>
      <protection locked="1" hidden="1"/>
    </xf>
    <xf numFmtId="0" fontId="165" fillId="0" borderId="0" applyAlignment="1">
      <alignment horizontal="left"/>
    </xf>
    <xf numFmtId="0" fontId="295" fillId="0" borderId="0"/>
    <xf numFmtId="0" fontId="55" fillId="0" borderId="0"/>
    <xf numFmtId="37" fontId="166" fillId="0" borderId="0"/>
    <xf numFmtId="318" fontId="4" fillId="0" borderId="0"/>
    <xf numFmtId="0" fontId="56" fillId="0" borderId="0"/>
    <xf numFmtId="1" fontId="38" fillId="0" borderId="0"/>
    <xf numFmtId="197" fontId="148" fillId="0" borderId="0"/>
    <xf numFmtId="164" fontId="149" fillId="3" borderId="94" applyAlignment="1">
      <alignment horizontal="right"/>
    </xf>
    <xf numFmtId="0" fontId="4" fillId="0" borderId="0" applyAlignment="1">
      <alignment horizontal="right"/>
    </xf>
    <xf numFmtId="219" fontId="295" fillId="0" borderId="0"/>
    <xf numFmtId="1" fontId="167" fillId="0" borderId="0"/>
    <xf numFmtId="38" fontId="4" fillId="0" borderId="17"/>
    <xf numFmtId="223" fontId="295" fillId="0" borderId="0"/>
    <xf numFmtId="40" fontId="4" fillId="0" borderId="0"/>
    <xf numFmtId="0" fontId="4" fillId="0" borderId="0"/>
    <xf numFmtId="197" fontId="4" fillId="0" borderId="0" applyProtection="1">
      <protection locked="0" hidden="0"/>
    </xf>
    <xf numFmtId="223" fontId="24" fillId="0" borderId="0"/>
    <xf numFmtId="3" fontId="168" fillId="0" borderId="0" applyAlignment="1">
      <alignment horizontal="left"/>
    </xf>
    <xf numFmtId="246" fontId="295" fillId="0" borderId="0"/>
    <xf numFmtId="168" fontId="169" fillId="0" borderId="0"/>
    <xf numFmtId="164" fontId="149" fillId="3" borderId="94" applyAlignment="1">
      <alignment horizontal="right"/>
    </xf>
    <xf numFmtId="318" fontId="4" fillId="0" borderId="0" applyAlignment="1">
      <alignment vertical="center"/>
    </xf>
    <xf numFmtId="40" fontId="24" fillId="0" borderId="0" applyAlignment="1">
      <alignment horizontal="left"/>
    </xf>
    <xf numFmtId="197" fontId="35" fillId="0" borderId="0"/>
    <xf numFmtId="0" fontId="295" fillId="0" borderId="0"/>
    <xf numFmtId="223" fontId="4" fillId="0" borderId="0"/>
    <xf numFmtId="0" fontId="27" fillId="0" borderId="0"/>
    <xf numFmtId="0" fontId="295" fillId="0" borderId="0"/>
    <xf numFmtId="252" fontId="295" fillId="0" borderId="0"/>
    <xf numFmtId="273" fontId="4" fillId="0" borderId="0"/>
    <xf numFmtId="0" fontId="4" fillId="0" borderId="0"/>
    <xf numFmtId="0" fontId="170" fillId="0" borderId="52"/>
    <xf numFmtId="223" fontId="295" fillId="0" borderId="0"/>
    <xf numFmtId="193" fontId="35" fillId="0" borderId="14"/>
    <xf numFmtId="41" fontId="106" fillId="0" borderId="0"/>
    <xf numFmtId="256" fontId="4" fillId="0" borderId="0"/>
    <xf numFmtId="250" fontId="295" fillId="0" borderId="0"/>
    <xf numFmtId="43" fontId="35" fillId="0" borderId="0"/>
    <xf numFmtId="0" fontId="35" fillId="0" borderId="0"/>
    <xf numFmtId="0" fontId="4" fillId="0" borderId="0"/>
    <xf numFmtId="317" fontId="4" fillId="0" borderId="0"/>
    <xf numFmtId="0" fontId="66" fillId="0" borderId="45"/>
    <xf numFmtId="0" fontId="295" fillId="0" borderId="0" applyAlignment="1">
      <alignment horizontal="left"/>
    </xf>
    <xf numFmtId="186" fontId="171" fillId="46" borderId="0" applyAlignment="1">
      <alignment horizontal="right"/>
    </xf>
    <xf numFmtId="314" fontId="4" fillId="46" borderId="0" applyAlignment="1">
      <alignment horizontal="right"/>
    </xf>
    <xf numFmtId="197" fontId="171" fillId="47" borderId="0" applyAlignment="1">
      <alignment horizontal="right"/>
    </xf>
    <xf numFmtId="215" fontId="4" fillId="46" borderId="0" applyAlignment="1">
      <alignment horizontal="right"/>
    </xf>
    <xf numFmtId="321" fontId="4" fillId="46" borderId="0" applyAlignment="1">
      <alignment horizontal="right"/>
    </xf>
    <xf numFmtId="258" fontId="4" fillId="46" borderId="0" applyAlignment="1">
      <alignment horizontal="right"/>
    </xf>
    <xf numFmtId="0" fontId="35" fillId="0" borderId="0"/>
    <xf numFmtId="9" fontId="35" fillId="0" borderId="0" applyAlignment="1">
      <alignment horizontal="right"/>
    </xf>
    <xf numFmtId="0" fontId="295" fillId="0" borderId="0"/>
    <xf numFmtId="164" fontId="107" fillId="0" borderId="0"/>
    <xf numFmtId="168" fontId="158" fillId="0" borderId="0"/>
    <xf numFmtId="37" fontId="4" fillId="0" borderId="0" applyProtection="1">
      <protection locked="0" hidden="0"/>
    </xf>
    <xf numFmtId="302" fontId="4" fillId="0" borderId="0"/>
    <xf numFmtId="264" fontId="4" fillId="0" borderId="0"/>
    <xf numFmtId="303" fontId="4" fillId="0" borderId="0"/>
    <xf numFmtId="265" fontId="4" fillId="0" borderId="0"/>
    <xf numFmtId="302" fontId="4" fillId="0" borderId="0"/>
    <xf numFmtId="264" fontId="4" fillId="0" borderId="0"/>
    <xf numFmtId="10" fontId="38" fillId="0" borderId="14"/>
    <xf numFmtId="10" fontId="38" fillId="0" borderId="14"/>
    <xf numFmtId="303" fontId="4" fillId="0" borderId="0"/>
    <xf numFmtId="265" fontId="4" fillId="0" borderId="0"/>
    <xf numFmtId="7" fontId="35" fillId="0" borderId="0"/>
    <xf numFmtId="0" fontId="4" fillId="0" borderId="0"/>
    <xf numFmtId="222" fontId="35" fillId="0" borderId="0"/>
    <xf numFmtId="302" fontId="4" fillId="0" borderId="0"/>
    <xf numFmtId="264" fontId="4" fillId="0" borderId="0"/>
    <xf numFmtId="317" fontId="4" fillId="0" borderId="0"/>
    <xf numFmtId="267" fontId="4" fillId="0" borderId="0"/>
    <xf numFmtId="168" fontId="172" fillId="0" borderId="0"/>
    <xf numFmtId="0" fontId="173" fillId="0" borderId="0"/>
    <xf numFmtId="0" fontId="174" fillId="0" borderId="0" applyAlignment="1">
      <alignment horizontal="left"/>
    </xf>
    <xf numFmtId="0" fontId="295" fillId="0" borderId="0" applyAlignment="1">
      <alignment horizontal="left"/>
    </xf>
    <xf numFmtId="0" fontId="295" fillId="0" borderId="0" applyAlignment="1">
      <alignment horizontal="left"/>
    </xf>
    <xf numFmtId="1" fontId="295" fillId="0" borderId="0" applyAlignment="1">
      <alignment horizontal="right" vertical="center"/>
    </xf>
    <xf numFmtId="8" fontId="33" fillId="48" borderId="0"/>
    <xf numFmtId="198" fontId="295" fillId="0" borderId="0"/>
    <xf numFmtId="165" fontId="4" fillId="0" borderId="0"/>
    <xf numFmtId="283" fontId="4" fillId="0" borderId="0"/>
    <xf numFmtId="168" fontId="60" fillId="0" borderId="0"/>
    <xf numFmtId="245" fontId="4" fillId="0" borderId="0"/>
    <xf numFmtId="168" fontId="175" fillId="0" borderId="52"/>
    <xf numFmtId="168" fontId="176" fillId="0" borderId="0" applyAlignment="1">
      <alignment horizontal="right"/>
    </xf>
    <xf numFmtId="0" fontId="31" fillId="0" borderId="0"/>
    <xf numFmtId="0" fontId="4" fillId="0" borderId="0"/>
    <xf numFmtId="186" fontId="4" fillId="0" borderId="0" applyProtection="1">
      <protection locked="1" hidden="1"/>
    </xf>
    <xf numFmtId="0" fontId="4" fillId="0" borderId="0"/>
    <xf numFmtId="0" fontId="4" fillId="0" borderId="0" applyProtection="1">
      <protection locked="1" hidden="1"/>
    </xf>
    <xf numFmtId="0" fontId="177" fillId="0" borderId="0"/>
    <xf numFmtId="314" fontId="84" fillId="3" borderId="94" applyAlignment="1">
      <alignment horizontal="right"/>
    </xf>
    <xf numFmtId="168" fontId="42" fillId="0" borderId="0"/>
    <xf numFmtId="10" fontId="42" fillId="0" borderId="0"/>
    <xf numFmtId="269" fontId="27" fillId="0" borderId="0" applyAlignment="1">
      <alignment horizontal="right"/>
    </xf>
    <xf numFmtId="0" fontId="153" fillId="0" borderId="0"/>
    <xf numFmtId="9" fontId="15" fillId="0" borderId="8"/>
    <xf numFmtId="9" fontId="70" fillId="0" borderId="0"/>
    <xf numFmtId="182" fontId="295" fillId="14" borderId="14"/>
    <xf numFmtId="308" fontId="153" fillId="0" borderId="0"/>
    <xf numFmtId="282" fontId="4" fillId="0" borderId="0"/>
    <xf numFmtId="237" fontId="153" fillId="0" borderId="0"/>
    <xf numFmtId="168" fontId="15" fillId="0" borderId="8"/>
    <xf numFmtId="277" fontId="295" fillId="0" borderId="0"/>
    <xf numFmtId="235" fontId="4" fillId="0" borderId="0"/>
    <xf numFmtId="227" fontId="295" fillId="0" borderId="0"/>
    <xf numFmtId="10" fontId="15" fillId="0" borderId="8"/>
    <xf numFmtId="0" fontId="295" fillId="0" borderId="0"/>
    <xf numFmtId="199" fontId="153" fillId="0" borderId="0"/>
    <xf numFmtId="201" fontId="153" fillId="16" borderId="0"/>
    <xf numFmtId="223" fontId="295" fillId="3" borderId="0"/>
    <xf numFmtId="9" fontId="35" fillId="0" borderId="0"/>
    <xf numFmtId="10" fontId="35" fillId="0" borderId="0"/>
    <xf numFmtId="309" fontId="295" fillId="0" borderId="0" applyAlignment="1">
      <alignment horizontal="right"/>
    </xf>
    <xf numFmtId="315" fontId="4" fillId="49" borderId="0" applyAlignment="1">
      <alignment horizontal="right"/>
    </xf>
    <xf numFmtId="218" fontId="4" fillId="0" borderId="0" applyAlignment="1">
      <alignment horizontal="right"/>
    </xf>
    <xf numFmtId="324" fontId="4" fillId="0" borderId="0"/>
    <xf numFmtId="168" fontId="153" fillId="0" borderId="0" applyAlignment="1">
      <alignment horizontal="right"/>
    </xf>
    <xf numFmtId="168" fontId="84" fillId="0" borderId="0" applyAlignment="1">
      <alignment horizontal="right"/>
    </xf>
    <xf numFmtId="235" fontId="4" fillId="0" borderId="0"/>
    <xf numFmtId="306" fontId="108" fillId="0" borderId="0" applyAlignment="1">
      <alignment horizontal="right"/>
    </xf>
    <xf numFmtId="168" fontId="106" fillId="0" borderId="0"/>
    <xf numFmtId="310" fontId="295" fillId="0" borderId="0"/>
    <xf numFmtId="10" fontId="106" fillId="0" borderId="0" applyProtection="1">
      <protection locked="0" hidden="0"/>
    </xf>
    <xf numFmtId="256" fontId="27" fillId="0" borderId="0" applyAlignment="1">
      <alignment horizontal="right"/>
    </xf>
    <xf numFmtId="0" fontId="38" fillId="0" borderId="0" applyAlignment="1" applyProtection="1">
      <alignment horizontal="right"/>
      <protection locked="0" hidden="0"/>
    </xf>
    <xf numFmtId="165" fontId="295" fillId="0" borderId="0"/>
    <xf numFmtId="0" fontId="32" fillId="0" borderId="0"/>
    <xf numFmtId="0" fontId="4" fillId="0" borderId="0"/>
    <xf numFmtId="9" fontId="295" fillId="0" borderId="0"/>
    <xf numFmtId="314" fontId="84" fillId="3" borderId="94" applyAlignment="1">
      <alignment horizontal="right"/>
    </xf>
    <xf numFmtId="0" fontId="4" fillId="0" borderId="0" applyAlignment="1">
      <alignment horizontal="right"/>
    </xf>
    <xf numFmtId="0" fontId="56" fillId="0" borderId="0" applyAlignment="1">
      <alignment horizontal="centerContinuous"/>
    </xf>
    <xf numFmtId="227" fontId="178" fillId="0" borderId="0"/>
    <xf numFmtId="8" fontId="32" fillId="0" borderId="0"/>
    <xf numFmtId="168" fontId="179" fillId="0" borderId="0" applyAlignment="1">
      <alignment horizontal="right"/>
    </xf>
    <xf numFmtId="1" fontId="38" fillId="0" borderId="0"/>
    <xf numFmtId="0" fontId="32" fillId="0" borderId="0" applyProtection="1">
      <protection locked="0" hidden="0"/>
    </xf>
    <xf numFmtId="204" fontId="119" fillId="0" borderId="0" applyProtection="1">
      <protection locked="0" hidden="0"/>
    </xf>
    <xf numFmtId="9" fontId="295" fillId="0" borderId="0"/>
    <xf numFmtId="0" fontId="180" fillId="0" borderId="0" applyAlignment="1">
      <alignment horizontal="center"/>
    </xf>
    <xf numFmtId="0" fontId="180" fillId="0" borderId="0" applyAlignment="1">
      <alignment horizontal="center"/>
    </xf>
    <xf numFmtId="0" fontId="180" fillId="0" borderId="0" applyAlignment="1">
      <alignment horizontal="center"/>
    </xf>
    <xf numFmtId="311" fontId="295" fillId="0" borderId="0"/>
    <xf numFmtId="0" fontId="4" fillId="0" borderId="8"/>
    <xf numFmtId="10" fontId="37" fillId="0" borderId="0"/>
    <xf numFmtId="9" fontId="37" fillId="0" borderId="0"/>
    <xf numFmtId="268" fontId="4" fillId="0" borderId="0"/>
    <xf numFmtId="269" fontId="4" fillId="0" borderId="0"/>
    <xf numFmtId="268" fontId="4" fillId="0" borderId="0"/>
    <xf numFmtId="185" fontId="4" fillId="0" borderId="0"/>
    <xf numFmtId="269" fontId="4" fillId="0" borderId="0"/>
    <xf numFmtId="223" fontId="32" fillId="0" borderId="0"/>
    <xf numFmtId="38" fontId="32" fillId="0" borderId="0"/>
    <xf numFmtId="0" fontId="181" fillId="0" borderId="21" applyAlignment="1">
      <alignment horizontal="right"/>
    </xf>
    <xf numFmtId="0" fontId="24" fillId="13" borderId="17"/>
    <xf numFmtId="312" fontId="295" fillId="13" borderId="0" applyAlignment="1" applyProtection="1">
      <alignment horizontal="center"/>
      <protection locked="0" hidden="0"/>
    </xf>
    <xf numFmtId="198" fontId="14" fillId="0" borderId="0"/>
    <xf numFmtId="266" fontId="24" fillId="0" borderId="0" applyAlignment="1">
      <alignment horizontal="right"/>
    </xf>
    <xf numFmtId="0" fontId="160" fillId="0" borderId="3" applyAlignment="1">
      <alignment horizontal="centerContinuous"/>
    </xf>
    <xf numFmtId="0" fontId="182" fillId="0" borderId="11"/>
    <xf numFmtId="179" fontId="183" fillId="0" borderId="0" applyAlignment="1">
      <alignment horizontal="right"/>
    </xf>
    <xf numFmtId="0" fontId="184" fillId="0" borderId="0"/>
    <xf numFmtId="10" fontId="31" fillId="0" borderId="17"/>
    <xf numFmtId="277" fontId="117" fillId="0" borderId="0"/>
    <xf numFmtId="313" fontId="295" fillId="0" borderId="0" applyAlignment="1">
      <alignment horizontal="right"/>
    </xf>
    <xf numFmtId="288" fontId="295" fillId="0" borderId="0" applyAlignment="1">
      <alignment horizontal="right"/>
    </xf>
    <xf numFmtId="0" fontId="295" fillId="0" borderId="0" applyAlignment="1">
      <alignment horizontal="right"/>
    </xf>
    <xf numFmtId="170" fontId="4" fillId="0" borderId="0" applyAlignment="1" applyProtection="1">
      <alignment horizontal="right"/>
      <protection locked="0" hidden="0"/>
    </xf>
    <xf numFmtId="258" fontId="295" fillId="0" borderId="0"/>
    <xf numFmtId="181" fontId="4" fillId="0" borderId="53"/>
    <xf numFmtId="223" fontId="185" fillId="0" borderId="0" applyAlignment="1">
      <alignment horizontal="left"/>
    </xf>
    <xf numFmtId="0" fontId="186" fillId="0" borderId="0" applyProtection="1">
      <protection locked="0" hidden="0"/>
    </xf>
    <xf numFmtId="223" fontId="68" fillId="0" borderId="0"/>
    <xf numFmtId="0" fontId="4" fillId="0" borderId="0" applyAlignment="1">
      <alignment horizontal="right"/>
    </xf>
    <xf numFmtId="218" fontId="4" fillId="0" borderId="0" applyAlignment="1">
      <alignment horizontal="right"/>
    </xf>
    <xf numFmtId="235" fontId="295" fillId="0" borderId="0" applyAlignment="1">
      <alignment horizontal="right"/>
    </xf>
    <xf numFmtId="179" fontId="4" fillId="0" borderId="0" applyAlignment="1">
      <alignment horizontal="right"/>
    </xf>
    <xf numFmtId="239" fontId="4" fillId="0" borderId="0" applyAlignment="1">
      <alignment horizontal="right"/>
    </xf>
    <xf numFmtId="240" fontId="4" fillId="0" borderId="0" applyAlignment="1">
      <alignment horizontal="right"/>
    </xf>
    <xf numFmtId="241" fontId="4" fillId="0" borderId="0" applyAlignment="1">
      <alignment horizontal="right"/>
    </xf>
    <xf numFmtId="242" fontId="4" fillId="0" borderId="0" applyAlignment="1">
      <alignment horizontal="right"/>
    </xf>
    <xf numFmtId="192" fontId="4" fillId="0" borderId="0" applyAlignment="1">
      <alignment horizontal="right"/>
    </xf>
    <xf numFmtId="202" fontId="4" fillId="0" borderId="0" applyAlignment="1">
      <alignment horizontal="right"/>
    </xf>
    <xf numFmtId="0" fontId="187" fillId="0" borderId="0" applyAlignment="1">
      <alignment horizontal="right" vertical="center"/>
    </xf>
    <xf numFmtId="270" fontId="4" fillId="0" borderId="0"/>
    <xf numFmtId="0" fontId="99" fillId="38" borderId="44" applyAlignment="1">
      <alignment horizontal="left" wrapText="1"/>
    </xf>
    <xf numFmtId="0" fontId="24" fillId="0" borderId="0"/>
    <xf numFmtId="1" fontId="188" fillId="24" borderId="0"/>
    <xf numFmtId="1" fontId="188" fillId="24" borderId="0"/>
    <xf numFmtId="1" fontId="188" fillId="24" borderId="0"/>
    <xf numFmtId="1" fontId="188" fillId="24" borderId="0"/>
    <xf numFmtId="0" fontId="189" fillId="0" borderId="0"/>
    <xf numFmtId="314" fontId="295" fillId="0" borderId="0"/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164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164" fontId="74" fillId="0" borderId="0"/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45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164" fontId="74" fillId="0" borderId="0"/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35" fillId="0" borderId="0" applyAlignment="1">
      <alignment horizontal="center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179" fontId="31" fillId="0" borderId="8" applyAlignment="1">
      <alignment horizontal="right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164" fontId="74" fillId="0" borderId="0"/>
    <xf numFmtId="164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295" fillId="0" borderId="54" applyAlignment="1">
      <alignment vertical="center"/>
    </xf>
    <xf numFmtId="268" fontId="4" fillId="13" borderId="44" applyAlignment="1">
      <alignment horizontal="center"/>
    </xf>
    <xf numFmtId="4" fontId="190" fillId="24" borderId="55" applyAlignment="1">
      <alignment vertical="center"/>
    </xf>
    <xf numFmtId="4" fontId="191" fillId="2" borderId="55" applyAlignment="1">
      <alignment vertical="center"/>
    </xf>
    <xf numFmtId="4" fontId="192" fillId="33" borderId="55" applyAlignment="1">
      <alignment vertical="center"/>
    </xf>
    <xf numFmtId="4" fontId="193" fillId="33" borderId="55" applyAlignment="1">
      <alignment vertical="center"/>
    </xf>
    <xf numFmtId="4" fontId="192" fillId="45" borderId="55" applyAlignment="1">
      <alignment vertical="center"/>
    </xf>
    <xf numFmtId="4" fontId="193" fillId="45" borderId="55" applyAlignment="1">
      <alignment vertical="center"/>
    </xf>
    <xf numFmtId="4" fontId="194" fillId="2" borderId="55" applyAlignment="1">
      <alignment horizontal="left" vertical="center" indent="1"/>
    </xf>
    <xf numFmtId="4" fontId="195" fillId="50" borderId="55" applyAlignment="1">
      <alignment horizontal="left" vertical="center" indent="1"/>
    </xf>
    <xf numFmtId="4" fontId="196" fillId="51" borderId="55" applyAlignment="1">
      <alignment horizontal="left" vertical="center" indent="1"/>
    </xf>
    <xf numFmtId="4" fontId="196" fillId="52" borderId="55" applyAlignment="1">
      <alignment horizontal="left" vertical="center" indent="1"/>
    </xf>
    <xf numFmtId="4" fontId="197" fillId="50" borderId="55" applyAlignment="1">
      <alignment horizontal="left" vertical="center" indent="1"/>
    </xf>
    <xf numFmtId="4" fontId="198" fillId="4" borderId="55" applyAlignment="1">
      <alignment vertical="center"/>
    </xf>
    <xf numFmtId="4" fontId="199" fillId="14" borderId="55" applyAlignment="1">
      <alignment horizontal="left" vertical="center" indent="1"/>
    </xf>
    <xf numFmtId="4" fontId="200" fillId="0" borderId="0" applyAlignment="1">
      <alignment horizontal="left" vertical="center" indent="1"/>
    </xf>
    <xf numFmtId="4" fontId="195" fillId="50" borderId="55" applyAlignment="1">
      <alignment horizontal="left" vertical="center" indent="1"/>
    </xf>
    <xf numFmtId="4" fontId="201" fillId="14" borderId="55" applyAlignment="1">
      <alignment vertical="center"/>
    </xf>
    <xf numFmtId="4" fontId="202" fillId="14" borderId="55" applyAlignment="1">
      <alignment vertical="center"/>
    </xf>
    <xf numFmtId="4" fontId="203" fillId="33" borderId="55" applyAlignment="1">
      <alignment vertical="center"/>
    </xf>
    <xf numFmtId="4" fontId="204" fillId="33" borderId="55" applyAlignment="1">
      <alignment vertical="center"/>
    </xf>
    <xf numFmtId="4" fontId="203" fillId="45" borderId="55" applyAlignment="1">
      <alignment vertical="center"/>
    </xf>
    <xf numFmtId="4" fontId="204" fillId="45" borderId="55" applyAlignment="1">
      <alignment vertical="center"/>
    </xf>
    <xf numFmtId="4" fontId="196" fillId="43" borderId="55" applyAlignment="1">
      <alignment horizontal="left" vertical="center" indent="1"/>
    </xf>
    <xf numFmtId="4" fontId="205" fillId="14" borderId="55" applyAlignment="1">
      <alignment vertical="center"/>
    </xf>
    <xf numFmtId="4" fontId="206" fillId="14" borderId="55" applyAlignment="1">
      <alignment vertical="center"/>
    </xf>
    <xf numFmtId="4" fontId="207" fillId="33" borderId="55" applyAlignment="1">
      <alignment vertical="center"/>
    </xf>
    <xf numFmtId="4" fontId="208" fillId="33" borderId="55" applyAlignment="1">
      <alignment vertical="center"/>
    </xf>
    <xf numFmtId="4" fontId="207" fillId="45" borderId="55" applyAlignment="1">
      <alignment vertical="center"/>
    </xf>
    <xf numFmtId="4" fontId="208" fillId="45" borderId="55" applyAlignment="1">
      <alignment vertical="center"/>
    </xf>
    <xf numFmtId="4" fontId="190" fillId="53" borderId="56" applyAlignment="1">
      <alignment horizontal="left" vertical="center" indent="1"/>
    </xf>
    <xf numFmtId="4" fontId="209" fillId="14" borderId="55" applyAlignment="1">
      <alignment vertical="center"/>
    </xf>
    <xf numFmtId="4" fontId="210" fillId="14" borderId="55" applyAlignment="1">
      <alignment vertical="center"/>
    </xf>
    <xf numFmtId="4" fontId="192" fillId="33" borderId="55" applyAlignment="1">
      <alignment vertical="center"/>
    </xf>
    <xf numFmtId="4" fontId="193" fillId="33" borderId="55" applyAlignment="1">
      <alignment vertical="center"/>
    </xf>
    <xf numFmtId="4" fontId="192" fillId="45" borderId="55" applyAlignment="1">
      <alignment vertical="center"/>
    </xf>
    <xf numFmtId="4" fontId="193" fillId="45" borderId="55" applyAlignment="1">
      <alignment vertical="center"/>
    </xf>
    <xf numFmtId="4" fontId="196" fillId="3" borderId="55" applyAlignment="1">
      <alignment horizontal="left" vertical="center" indent="1"/>
    </xf>
    <xf numFmtId="4" fontId="211" fillId="54" borderId="55" applyAlignment="1">
      <alignment horizontal="left" indent="1"/>
    </xf>
    <xf numFmtId="4" fontId="212" fillId="14" borderId="55" applyAlignment="1">
      <alignment vertical="center"/>
    </xf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38" fillId="0" borderId="0" applyAlignment="1" applyProtection="1">
      <alignment horizontal="right"/>
      <protection locked="1" hidden="1"/>
    </xf>
    <xf numFmtId="164" fontId="213" fillId="0" borderId="0" applyProtection="1">
      <protection locked="0" hidden="0"/>
    </xf>
    <xf numFmtId="0" fontId="15" fillId="0" borderId="0" applyAlignment="1">
      <alignment horizontal="left"/>
    </xf>
    <xf numFmtId="164" fontId="214" fillId="0" borderId="0" applyAlignment="1">
      <alignment horizontal="left"/>
    </xf>
    <xf numFmtId="0" fontId="215" fillId="0" borderId="0" applyAlignment="1">
      <alignment horizontal="left" vertical="center"/>
    </xf>
    <xf numFmtId="0" fontId="216" fillId="0" borderId="57"/>
    <xf numFmtId="0" fontId="295" fillId="40" borderId="17" applyAlignment="1" applyProtection="1">
      <alignment horizontal="center" vertical="center" wrapText="1"/>
      <protection locked="1" hidden="1"/>
    </xf>
    <xf numFmtId="264" fontId="295" fillId="0" borderId="0"/>
    <xf numFmtId="284" fontId="295" fillId="0" borderId="0"/>
    <xf numFmtId="164" fontId="217" fillId="0" borderId="0"/>
    <xf numFmtId="37" fontId="217" fillId="0" borderId="0"/>
    <xf numFmtId="0" fontId="35" fillId="49" borderId="0"/>
    <xf numFmtId="0" fontId="152" fillId="48" borderId="0"/>
    <xf numFmtId="0" fontId="32" fillId="0" borderId="0"/>
    <xf numFmtId="184" fontId="4" fillId="0" borderId="0" applyAlignment="1">
      <alignment horizontal="center"/>
    </xf>
    <xf numFmtId="14" fontId="44" fillId="16" borderId="0"/>
    <xf numFmtId="315" fontId="295" fillId="16" borderId="0"/>
    <xf numFmtId="317" fontId="295" fillId="0" borderId="0" applyAlignment="1">
      <alignment horizontal="center"/>
    </xf>
    <xf numFmtId="42" fontId="218" fillId="0" borderId="0"/>
    <xf numFmtId="0" fontId="55" fillId="0" borderId="11"/>
    <xf numFmtId="8" fontId="219" fillId="0" borderId="0"/>
    <xf numFmtId="40" fontId="35" fillId="0" borderId="0"/>
    <xf numFmtId="0" fontId="220" fillId="0" borderId="0" applyAlignment="1">
      <alignment horizontal="left"/>
    </xf>
    <xf numFmtId="194" fontId="35" fillId="0" borderId="0"/>
    <xf numFmtId="164" fontId="221" fillId="0" borderId="0" applyAlignment="1">
      <alignment horizontal="left"/>
    </xf>
    <xf numFmtId="0" fontId="161" fillId="0" borderId="0" applyAlignment="1">
      <alignment horizontal="centerContinuous"/>
    </xf>
    <xf numFmtId="179" fontId="182" fillId="0" borderId="58" applyAlignment="1">
      <alignment horizontal="right"/>
    </xf>
    <xf numFmtId="245" fontId="38" fillId="0" borderId="8"/>
    <xf numFmtId="179" fontId="38" fillId="0" borderId="8"/>
    <xf numFmtId="43" fontId="38" fillId="0" borderId="8"/>
    <xf numFmtId="0" fontId="222" fillId="0" borderId="30"/>
    <xf numFmtId="0" fontId="35" fillId="0" borderId="0" applyAlignment="1">
      <alignment horizontal="center"/>
    </xf>
    <xf numFmtId="261" fontId="4" fillId="24" borderId="0"/>
    <xf numFmtId="261" fontId="4" fillId="0" borderId="0" applyProtection="1">
      <protection locked="0" hidden="0"/>
    </xf>
    <xf numFmtId="274" fontId="295" fillId="35" borderId="0"/>
    <xf numFmtId="0" fontId="295" fillId="0" borderId="0"/>
    <xf numFmtId="181" fontId="60" fillId="0" borderId="0"/>
    <xf numFmtId="12" fontId="295" fillId="0" borderId="0" applyAlignment="1">
      <alignment horizontal="right"/>
    </xf>
    <xf numFmtId="289" fontId="295" fillId="55" borderId="0" applyAlignment="1">
      <alignment horizontal="right"/>
    </xf>
    <xf numFmtId="223" fontId="4" fillId="32" borderId="0" applyProtection="1">
      <protection locked="1" hidden="1"/>
    </xf>
    <xf numFmtId="0" fontId="2" fillId="0" borderId="8" applyAlignment="1">
      <alignment horizontal="right"/>
    </xf>
    <xf numFmtId="0" fontId="42" fillId="0" borderId="0"/>
    <xf numFmtId="0" fontId="45" fillId="0" borderId="0" applyAlignment="1">
      <alignment vertical="center"/>
    </xf>
    <xf numFmtId="0" fontId="61" fillId="0" borderId="0"/>
    <xf numFmtId="0" fontId="60" fillId="0" borderId="0" applyAlignment="1">
      <alignment vertical="top"/>
    </xf>
    <xf numFmtId="0" fontId="223" fillId="0" borderId="0" applyAlignment="1">
      <alignment horizontal="left" vertical="center"/>
    </xf>
    <xf numFmtId="176" fontId="224" fillId="0" borderId="52"/>
    <xf numFmtId="314" fontId="295" fillId="0" borderId="0"/>
    <xf numFmtId="0" fontId="225" fillId="0" borderId="0"/>
    <xf numFmtId="0" fontId="189" fillId="0" borderId="0"/>
    <xf numFmtId="0" fontId="226" fillId="0" borderId="0"/>
    <xf numFmtId="176" fontId="15" fillId="0" borderId="0"/>
    <xf numFmtId="0" fontId="24" fillId="0" borderId="0"/>
    <xf numFmtId="279" fontId="4" fillId="0" borderId="0" applyAlignment="1">
      <alignment horizontal="centerContinuous"/>
    </xf>
    <xf numFmtId="3" fontId="227" fillId="0" borderId="0"/>
    <xf numFmtId="3" fontId="228" fillId="0" borderId="0"/>
    <xf numFmtId="3" fontId="50" fillId="0" borderId="8"/>
    <xf numFmtId="245" fontId="2" fillId="0" borderId="18"/>
    <xf numFmtId="0" fontId="223" fillId="0" borderId="2" applyAlignment="1">
      <alignment horizontal="left" vertical="center"/>
    </xf>
    <xf numFmtId="0" fontId="24" fillId="13" borderId="0"/>
    <xf numFmtId="313" fontId="295" fillId="0" borderId="58" applyProtection="1">
      <protection locked="0" hidden="0"/>
    </xf>
    <xf numFmtId="223" fontId="4" fillId="0" borderId="0"/>
    <xf numFmtId="247" fontId="4" fillId="32" borderId="17" applyAlignment="1">
      <alignment horizontal="center"/>
    </xf>
    <xf numFmtId="247" fontId="4" fillId="0" borderId="0" applyAlignment="1">
      <alignment horizontal="center"/>
    </xf>
    <xf numFmtId="0" fontId="59" fillId="0" borderId="11" applyAlignment="1">
      <alignment horizontal="center"/>
    </xf>
    <xf numFmtId="0" fontId="31" fillId="0" borderId="0"/>
    <xf numFmtId="0" fontId="229" fillId="1" borderId="58"/>
    <xf numFmtId="0" fontId="128" fillId="0" borderId="0"/>
    <xf numFmtId="0" fontId="59" fillId="0" borderId="11" applyAlignment="1">
      <alignment horizontal="centerContinuous"/>
    </xf>
    <xf numFmtId="0" fontId="59" fillId="0" borderId="30" applyAlignment="1">
      <alignment horizontal="centerContinuous"/>
    </xf>
    <xf numFmtId="0" fontId="59" fillId="0" borderId="30" applyAlignment="1">
      <alignment horizontal="centerContinuous"/>
    </xf>
    <xf numFmtId="9" fontId="59" fillId="0" borderId="0" applyAlignment="1">
      <alignment horizontal="centerContinuous"/>
    </xf>
    <xf numFmtId="0" fontId="32" fillId="0" borderId="0"/>
    <xf numFmtId="0" fontId="41" fillId="0" borderId="0" applyAlignment="1">
      <alignment horizontal="center" vertical="center"/>
    </xf>
    <xf numFmtId="3" fontId="230" fillId="0" borderId="0"/>
    <xf numFmtId="0" fontId="295" fillId="0" borderId="0" applyAlignment="1">
      <alignment vertical="center"/>
    </xf>
    <xf numFmtId="0" fontId="295" fillId="0" borderId="11" applyAlignment="1">
      <alignment horizontal="right" vertical="center"/>
    </xf>
    <xf numFmtId="0" fontId="295" fillId="56" borderId="0" applyAlignment="1">
      <alignment horizontal="centerContinuous" vertical="center"/>
    </xf>
    <xf numFmtId="0" fontId="295" fillId="34" borderId="11" applyAlignment="1">
      <alignment horizontal="centerContinuous" vertical="center"/>
    </xf>
    <xf numFmtId="0" fontId="231" fillId="0" borderId="0" applyAlignment="1">
      <alignment horizontal="center" vertical="center"/>
    </xf>
    <xf numFmtId="0" fontId="24" fillId="0" borderId="0" applyAlignment="1">
      <alignment horizontal="left"/>
    </xf>
    <xf numFmtId="0" fontId="131" fillId="0" borderId="0" applyAlignment="1">
      <alignment horizontal="left"/>
    </xf>
    <xf numFmtId="0" fontId="232" fillId="0" borderId="0"/>
    <xf numFmtId="0" fontId="233" fillId="0" borderId="0" applyAlignment="1">
      <alignment horizontal="left"/>
    </xf>
    <xf numFmtId="0" fontId="295" fillId="0" borderId="0"/>
    <xf numFmtId="0" fontId="295" fillId="0" borderId="0" applyAlignment="1">
      <alignment horizontal="left"/>
    </xf>
    <xf numFmtId="0" fontId="131" fillId="0" borderId="13" applyAlignment="1">
      <alignment horizontal="left" vertical="top"/>
    </xf>
    <xf numFmtId="0" fontId="99" fillId="0" borderId="0" applyAlignment="1">
      <alignment horizontal="centerContinuous"/>
    </xf>
    <xf numFmtId="0" fontId="72" fillId="14" borderId="8" applyProtection="1">
      <protection locked="0" hidden="0"/>
    </xf>
    <xf numFmtId="0" fontId="234" fillId="0" borderId="0" applyAlignment="1">
      <alignment horizontal="center" vertical="center"/>
    </xf>
    <xf numFmtId="0" fontId="32" fillId="0" borderId="0"/>
    <xf numFmtId="0" fontId="72" fillId="14" borderId="59" applyProtection="1">
      <protection locked="0" hidden="0"/>
    </xf>
    <xf numFmtId="38" fontId="235" fillId="0" borderId="0" applyAlignment="1">
      <alignment horizontal="left"/>
    </xf>
    <xf numFmtId="0" fontId="236" fillId="0" borderId="0" applyAlignment="1">
      <alignment vertical="top"/>
    </xf>
    <xf numFmtId="0" fontId="237" fillId="0" borderId="0" applyAlignment="1">
      <alignment vertical="center"/>
    </xf>
    <xf numFmtId="0" fontId="59" fillId="0" borderId="0"/>
    <xf numFmtId="0" fontId="238" fillId="0" borderId="0" applyAlignment="1">
      <alignment horizontal="centerContinuous"/>
    </xf>
    <xf numFmtId="1" fontId="295" fillId="0" borderId="0"/>
    <xf numFmtId="0" fontId="4" fillId="0" borderId="0"/>
    <xf numFmtId="223" fontId="295" fillId="57" borderId="0"/>
    <xf numFmtId="0" fontId="295" fillId="0" borderId="0"/>
    <xf numFmtId="224" fontId="4" fillId="0" borderId="0"/>
    <xf numFmtId="225" fontId="4" fillId="0" borderId="0"/>
    <xf numFmtId="215" fontId="4" fillId="0" borderId="0"/>
    <xf numFmtId="212" fontId="4" fillId="0" borderId="0"/>
    <xf numFmtId="214" fontId="4" fillId="0" borderId="0"/>
    <xf numFmtId="0" fontId="295" fillId="0" borderId="0"/>
    <xf numFmtId="0" fontId="239" fillId="0" borderId="0"/>
    <xf numFmtId="0" fontId="240" fillId="0" borderId="0"/>
    <xf numFmtId="0" fontId="295" fillId="0" borderId="0"/>
    <xf numFmtId="0" fontId="240" fillId="0" borderId="0"/>
    <xf numFmtId="0" fontId="239" fillId="0" borderId="0"/>
    <xf numFmtId="0" fontId="239" fillId="0" borderId="0"/>
    <xf numFmtId="49" fontId="14" fillId="0" borderId="0"/>
    <xf numFmtId="304" fontId="4" fillId="0" borderId="0"/>
    <xf numFmtId="204" fontId="4" fillId="0" borderId="0"/>
    <xf numFmtId="0" fontId="34" fillId="0" borderId="0" applyAlignment="1">
      <alignment horizontal="left" vertical="top" wrapText="1"/>
    </xf>
    <xf numFmtId="0" fontId="24" fillId="0" borderId="0"/>
    <xf numFmtId="307" fontId="295" fillId="0" borderId="0" applyAlignment="1">
      <alignment horizontal="right"/>
    </xf>
    <xf numFmtId="302" fontId="295" fillId="0" borderId="0"/>
    <xf numFmtId="204" fontId="4" fillId="0" borderId="0" applyAlignment="1">
      <alignment horizontal="right"/>
    </xf>
    <xf numFmtId="0" fontId="241" fillId="32" borderId="17" applyAlignment="1" applyProtection="1">
      <alignment horizontal="center"/>
      <protection locked="0" hidden="0"/>
    </xf>
    <xf numFmtId="20" fontId="295" fillId="0" borderId="0"/>
    <xf numFmtId="1" fontId="68" fillId="0" borderId="2" applyAlignment="1">
      <alignment horizontal="right"/>
    </xf>
    <xf numFmtId="18" fontId="72" fillId="14" borderId="0" applyProtection="1">
      <protection locked="0" hidden="0"/>
    </xf>
    <xf numFmtId="310" fontId="295" fillId="0" borderId="0"/>
    <xf numFmtId="184" fontId="4" fillId="0" borderId="0"/>
    <xf numFmtId="253" fontId="4" fillId="0" borderId="8"/>
    <xf numFmtId="253" fontId="4" fillId="0" borderId="0"/>
    <xf numFmtId="185" fontId="4" fillId="0" borderId="0"/>
    <xf numFmtId="252" fontId="4" fillId="0" borderId="8"/>
    <xf numFmtId="252" fontId="4" fillId="0" borderId="0"/>
    <xf numFmtId="226" fontId="4" fillId="0" borderId="0"/>
    <xf numFmtId="0" fontId="35" fillId="0" borderId="0"/>
    <xf numFmtId="0" fontId="38" fillId="0" borderId="0"/>
    <xf numFmtId="40" fontId="94" fillId="0" borderId="0"/>
    <xf numFmtId="275" fontId="295" fillId="0" borderId="0"/>
    <xf numFmtId="0" fontId="242" fillId="0" borderId="0"/>
    <xf numFmtId="0" fontId="99" fillId="38" borderId="23" applyAlignment="1">
      <alignment horizontal="left" vertical="center"/>
    </xf>
    <xf numFmtId="0" fontId="68" fillId="0" borderId="0"/>
    <xf numFmtId="0" fontId="243" fillId="12" borderId="0" applyAlignment="1">
      <alignment vertical="center"/>
    </xf>
    <xf numFmtId="0" fontId="243" fillId="58" borderId="0" applyAlignment="1">
      <alignment vertical="center"/>
    </xf>
    <xf numFmtId="0" fontId="181" fillId="0" borderId="0"/>
    <xf numFmtId="293" fontId="69" fillId="0" borderId="0"/>
    <xf numFmtId="253" fontId="244" fillId="34" borderId="0" applyAlignment="1">
      <alignment horizontal="left"/>
    </xf>
    <xf numFmtId="0" fontId="245" fillId="0" borderId="11"/>
    <xf numFmtId="1" fontId="35" fillId="59" borderId="0" applyAlignment="1">
      <alignment horizontal="left"/>
    </xf>
    <xf numFmtId="0" fontId="2" fillId="0" borderId="0"/>
    <xf numFmtId="0" fontId="246" fillId="0" borderId="0" applyAlignment="1">
      <alignment horizontal="left" vertical="center"/>
    </xf>
    <xf numFmtId="0" fontId="179" fillId="0" borderId="0"/>
    <xf numFmtId="223" fontId="4" fillId="0" borderId="0" applyAlignment="1">
      <alignment horizontal="left"/>
    </xf>
    <xf numFmtId="164" fontId="295" fillId="0" borderId="8"/>
    <xf numFmtId="314" fontId="295" fillId="0" borderId="60" applyAlignment="1">
      <alignment horizontal="right"/>
    </xf>
    <xf numFmtId="223" fontId="102" fillId="0" borderId="60"/>
    <xf numFmtId="318" fontId="295" fillId="0" borderId="60"/>
    <xf numFmtId="0" fontId="102" fillId="0" borderId="60" applyAlignment="1">
      <alignment horizontal="right"/>
    </xf>
    <xf numFmtId="303" fontId="295" fillId="0" borderId="0"/>
    <xf numFmtId="245" fontId="38" fillId="0" borderId="18"/>
    <xf numFmtId="179" fontId="38" fillId="0" borderId="18"/>
    <xf numFmtId="43" fontId="38" fillId="0" borderId="18"/>
    <xf numFmtId="317" fontId="295" fillId="0" borderId="0"/>
    <xf numFmtId="168" fontId="38" fillId="0" borderId="11"/>
    <xf numFmtId="277" fontId="247" fillId="0" borderId="0" applyAlignment="1" applyProtection="1">
      <alignment horizontal="left"/>
      <protection locked="0" hidden="0"/>
    </xf>
    <xf numFmtId="0" fontId="45" fillId="0" borderId="0"/>
    <xf numFmtId="0" fontId="148" fillId="14" borderId="11"/>
    <xf numFmtId="0" fontId="35" fillId="0" borderId="8" applyAlignment="1">
      <alignment vertical="top"/>
    </xf>
    <xf numFmtId="0" fontId="248" fillId="0" borderId="0"/>
    <xf numFmtId="37" fontId="4" fillId="2" borderId="0"/>
    <xf numFmtId="37" fontId="4" fillId="0" borderId="0"/>
    <xf numFmtId="3" fontId="149" fillId="0" borderId="61"/>
    <xf numFmtId="0" fontId="249" fillId="0" borderId="0"/>
    <xf numFmtId="326" fontId="295" fillId="0" borderId="0"/>
    <xf numFmtId="0" fontId="38" fillId="0" borderId="0"/>
    <xf numFmtId="44" fontId="180" fillId="0" borderId="0"/>
    <xf numFmtId="0" fontId="56" fillId="0" borderId="0"/>
    <xf numFmtId="312" fontId="295" fillId="0" borderId="0"/>
    <xf numFmtId="41" fontId="4" fillId="0" borderId="0"/>
    <xf numFmtId="223" fontId="78" fillId="0" borderId="0"/>
    <xf numFmtId="1" fontId="32" fillId="0" borderId="0"/>
    <xf numFmtId="0" fontId="35" fillId="38" borderId="0" applyAlignment="1">
      <alignment horizontal="left"/>
    </xf>
    <xf numFmtId="40" fontId="24" fillId="0" borderId="0" applyAlignment="1">
      <alignment horizontal="left" wrapText="1"/>
    </xf>
    <xf numFmtId="187" fontId="295" fillId="0" borderId="0"/>
    <xf numFmtId="200" fontId="35" fillId="0" borderId="0"/>
    <xf numFmtId="267" fontId="35" fillId="0" borderId="0"/>
    <xf numFmtId="0" fontId="295" fillId="0" borderId="11" applyAlignment="1">
      <alignment horizontal="right"/>
    </xf>
    <xf numFmtId="287" fontId="27" fillId="0" borderId="0"/>
    <xf numFmtId="223" fontId="27" fillId="0" borderId="0"/>
    <xf numFmtId="0" fontId="148" fillId="0" borderId="0" applyAlignment="1">
      <alignment horizontal="right"/>
    </xf>
    <xf numFmtId="223" fontId="4" fillId="0" borderId="0"/>
    <xf numFmtId="223" fontId="149" fillId="3" borderId="0"/>
    <xf numFmtId="0" fontId="295" fillId="0" borderId="0"/>
    <xf numFmtId="0" fontId="295" fillId="0" borderId="0"/>
    <xf numFmtId="164" fontId="3" fillId="3" borderId="94"/>
    <xf numFmtId="164" fontId="8" fillId="3" borderId="95"/>
    <xf numFmtId="198" fontId="295" fillId="0" borderId="0"/>
    <xf numFmtId="269" fontId="295" fillId="0" borderId="0"/>
    <xf numFmtId="316" fontId="253" fillId="0" borderId="0"/>
    <xf numFmtId="165" fontId="253" fillId="0" borderId="0"/>
    <xf numFmtId="164" fontId="295" fillId="0" borderId="0"/>
    <xf numFmtId="0" fontId="295" fillId="0" borderId="0"/>
    <xf numFmtId="0" fontId="295" fillId="0" borderId="0"/>
    <xf numFmtId="43" fontId="295" fillId="0" borderId="0"/>
    <xf numFmtId="164" fontId="254" fillId="35" borderId="0"/>
    <xf numFmtId="164" fontId="3" fillId="3" borderId="94"/>
    <xf numFmtId="0" fontId="295" fillId="0" borderId="0"/>
    <xf numFmtId="9" fontId="295" fillId="0" borderId="0"/>
    <xf numFmtId="43" fontId="295" fillId="0" borderId="0"/>
    <xf numFmtId="164" fontId="3" fillId="3" borderId="94"/>
    <xf numFmtId="164" fontId="3" fillId="3" borderId="94"/>
    <xf numFmtId="43" fontId="295" fillId="0" borderId="0"/>
    <xf numFmtId="0" fontId="295" fillId="0" borderId="0"/>
    <xf numFmtId="9" fontId="295" fillId="0" borderId="0"/>
    <xf numFmtId="9" fontId="295" fillId="0" borderId="0"/>
    <xf numFmtId="0" fontId="295" fillId="0" borderId="0"/>
    <xf numFmtId="43" fontId="295" fillId="0" borderId="0"/>
    <xf numFmtId="164" fontId="3" fillId="3" borderId="94"/>
    <xf numFmtId="43" fontId="295" fillId="0" borderId="0"/>
    <xf numFmtId="164" fontId="3" fillId="3" borderId="94"/>
    <xf numFmtId="164" fontId="3" fillId="3" borderId="94"/>
    <xf numFmtId="43" fontId="295" fillId="0" borderId="0"/>
    <xf numFmtId="9" fontId="295" fillId="0" borderId="0"/>
    <xf numFmtId="0" fontId="295" fillId="0" borderId="0"/>
    <xf numFmtId="0" fontId="295" fillId="0" borderId="0"/>
    <xf numFmtId="9" fontId="295" fillId="0" borderId="0"/>
    <xf numFmtId="164" fontId="3" fillId="3" borderId="94"/>
    <xf numFmtId="43" fontId="295" fillId="0" borderId="0"/>
    <xf numFmtId="0" fontId="295" fillId="0" borderId="0"/>
    <xf numFmtId="9" fontId="295" fillId="0" borderId="0"/>
    <xf numFmtId="0" fontId="295" fillId="0" borderId="0"/>
    <xf numFmtId="43" fontId="295" fillId="0" borderId="0"/>
    <xf numFmtId="164" fontId="3" fillId="3" borderId="94"/>
    <xf numFmtId="9" fontId="295" fillId="0" borderId="0"/>
    <xf numFmtId="9" fontId="295" fillId="0" borderId="0"/>
    <xf numFmtId="0" fontId="295" fillId="0" borderId="0"/>
    <xf numFmtId="43" fontId="295" fillId="0" borderId="0"/>
    <xf numFmtId="164" fontId="3" fillId="3" borderId="94"/>
    <xf numFmtId="164" fontId="3" fillId="3" borderId="94"/>
    <xf numFmtId="43" fontId="295" fillId="0" borderId="0"/>
    <xf numFmtId="9" fontId="295" fillId="0" borderId="0"/>
    <xf numFmtId="0" fontId="295" fillId="0" borderId="0"/>
    <xf numFmtId="9" fontId="295" fillId="0" borderId="0"/>
    <xf numFmtId="0" fontId="295" fillId="0" borderId="0"/>
    <xf numFmtId="43" fontId="295" fillId="0" borderId="0"/>
    <xf numFmtId="164" fontId="3" fillId="3" borderId="94"/>
    <xf numFmtId="164" fontId="3" fillId="3" borderId="94"/>
    <xf numFmtId="43" fontId="295" fillId="0" borderId="0"/>
    <xf numFmtId="9" fontId="295" fillId="0" borderId="0"/>
    <xf numFmtId="0" fontId="295" fillId="0" borderId="0"/>
    <xf numFmtId="9" fontId="295" fillId="0" borderId="0"/>
    <xf numFmtId="0" fontId="295" fillId="0" borderId="0"/>
    <xf numFmtId="0" fontId="32" fillId="0" borderId="0" applyAlignment="1" applyProtection="1">
      <alignment horizontal="center" wrapText="1"/>
      <protection locked="0" hidden="0"/>
    </xf>
    <xf numFmtId="0" fontId="295" fillId="0" borderId="0"/>
    <xf numFmtId="164" fontId="109" fillId="31" borderId="0"/>
    <xf numFmtId="14" fontId="32" fillId="0" borderId="0" applyAlignment="1" applyProtection="1">
      <alignment horizontal="center" wrapText="1"/>
      <protection locked="0" hidden="0"/>
    </xf>
    <xf numFmtId="0" fontId="33" fillId="0" borderId="0"/>
    <xf numFmtId="0" fontId="33" fillId="0" borderId="0"/>
    <xf numFmtId="181" fontId="4" fillId="0" borderId="0"/>
    <xf numFmtId="0" fontId="32" fillId="14" borderId="0"/>
    <xf numFmtId="0" fontId="34" fillId="0" borderId="0"/>
    <xf numFmtId="0" fontId="266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68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48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49" fillId="0" borderId="0" applyAlignment="1">
      <alignment vertical="top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36" fillId="0" borderId="0"/>
    <xf numFmtId="0" fontId="267" fillId="0" borderId="0"/>
    <xf numFmtId="0" fontId="267" fillId="0" borderId="0"/>
    <xf numFmtId="0" fontId="269" fillId="0" borderId="0"/>
    <xf numFmtId="0" fontId="269" fillId="0" borderId="0"/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0" fontId="8" fillId="3" borderId="95"/>
    <xf numFmtId="37" fontId="33" fillId="0" borderId="11"/>
    <xf numFmtId="0" fontId="60" fillId="0" borderId="0"/>
    <xf numFmtId="0" fontId="60" fillId="0" borderId="8"/>
    <xf numFmtId="0" fontId="27" fillId="0" borderId="0"/>
    <xf numFmtId="0" fontId="142" fillId="0" borderId="0"/>
    <xf numFmtId="0" fontId="271" fillId="0" borderId="64" applyAlignment="1">
      <alignment horizontal="right"/>
    </xf>
    <xf numFmtId="0" fontId="178" fillId="0" borderId="0"/>
    <xf numFmtId="0" fontId="164" fillId="0" borderId="0"/>
    <xf numFmtId="16" fontId="14" fillId="0" borderId="0"/>
    <xf numFmtId="15" fontId="14" fillId="0" borderId="0"/>
    <xf numFmtId="17" fontId="14" fillId="0" borderId="0"/>
    <xf numFmtId="0" fontId="272" fillId="0" borderId="0"/>
    <xf numFmtId="14" fontId="272" fillId="0" borderId="0"/>
    <xf numFmtId="14" fontId="273" fillId="0" borderId="0" applyAlignment="1" applyProtection="1">
      <alignment horizontal="right"/>
      <protection locked="0" hidden="0"/>
    </xf>
    <xf numFmtId="0" fontId="274" fillId="0" borderId="0" applyProtection="1">
      <protection locked="0" hidden="0"/>
    </xf>
    <xf numFmtId="0" fontId="275" fillId="0" borderId="0"/>
    <xf numFmtId="0" fontId="4" fillId="0" borderId="0"/>
    <xf numFmtId="39" fontId="276" fillId="0" borderId="0"/>
    <xf numFmtId="43" fontId="295" fillId="0" borderId="0"/>
    <xf numFmtId="15" fontId="44" fillId="66" borderId="0"/>
    <xf numFmtId="0" fontId="32" fillId="0" borderId="0"/>
    <xf numFmtId="0" fontId="106" fillId="0" borderId="0" applyProtection="1">
      <protection locked="0" hidden="0"/>
    </xf>
    <xf numFmtId="0" fontId="32" fillId="0" borderId="0"/>
    <xf numFmtId="0" fontId="35" fillId="0" borderId="0"/>
    <xf numFmtId="49" fontId="277" fillId="0" borderId="0" applyAlignment="1">
      <alignment horizontal="center" vertical="top"/>
    </xf>
    <xf numFmtId="0" fontId="278" fillId="0" borderId="0" applyAlignment="1">
      <alignment horizontal="left"/>
    </xf>
    <xf numFmtId="216" fontId="270" fillId="0" borderId="66" applyAlignment="1">
      <alignment horizontal="left"/>
    </xf>
    <xf numFmtId="0" fontId="279" fillId="0" borderId="0" applyAlignment="1">
      <alignment vertical="center"/>
    </xf>
    <xf numFmtId="0" fontId="279" fillId="0" borderId="0" applyAlignment="1">
      <alignment horizontal="left" vertical="center"/>
    </xf>
    <xf numFmtId="0" fontId="280" fillId="0" borderId="0" applyAlignment="1">
      <alignment vertical="center"/>
    </xf>
    <xf numFmtId="0" fontId="281" fillId="0" borderId="0" applyAlignment="1">
      <alignment vertical="center"/>
    </xf>
    <xf numFmtId="216" fontId="270" fillId="0" borderId="66" applyAlignment="1">
      <alignment horizontal="left"/>
    </xf>
    <xf numFmtId="216" fontId="277" fillId="0" borderId="0" applyAlignment="1">
      <alignment horizontal="center"/>
    </xf>
    <xf numFmtId="216" fontId="282" fillId="0" borderId="66" applyAlignment="1">
      <alignment horizontal="center"/>
    </xf>
    <xf numFmtId="216" fontId="5" fillId="0" borderId="0"/>
    <xf numFmtId="216" fontId="283" fillId="0" borderId="0"/>
    <xf numFmtId="216" fontId="295" fillId="0" borderId="0"/>
    <xf numFmtId="216" fontId="284" fillId="0" borderId="0" applyAlignment="1">
      <alignment horizontal="left" vertical="top"/>
    </xf>
    <xf numFmtId="0" fontId="285" fillId="0" borderId="0" applyAlignment="1">
      <alignment horizontal="left" vertical="top" wrapText="1"/>
    </xf>
    <xf numFmtId="0" fontId="286" fillId="0" borderId="0" applyAlignment="1">
      <alignment horizontal="left" vertical="top" wrapText="1"/>
    </xf>
    <xf numFmtId="0" fontId="287" fillId="0" borderId="0" applyAlignment="1">
      <alignment horizontal="left" vertical="top" wrapText="1"/>
    </xf>
    <xf numFmtId="0" fontId="274" fillId="0" borderId="0" applyProtection="1">
      <protection locked="0" hidden="0"/>
    </xf>
    <xf numFmtId="244" fontId="178" fillId="0" borderId="0"/>
    <xf numFmtId="223" fontId="4" fillId="14" borderId="17" applyAlignment="1">
      <alignment vertical="top"/>
    </xf>
    <xf numFmtId="0" fontId="288" fillId="0" borderId="67"/>
    <xf numFmtId="37" fontId="289" fillId="0" borderId="0" applyAlignment="1">
      <alignment horizontal="right"/>
    </xf>
    <xf numFmtId="37" fontId="290" fillId="0" borderId="0" applyAlignment="1">
      <alignment horizontal="right"/>
    </xf>
    <xf numFmtId="37" fontId="290" fillId="0" borderId="0" applyAlignment="1">
      <alignment horizontal="left"/>
    </xf>
    <xf numFmtId="37" fontId="289" fillId="0" borderId="0" applyAlignment="1">
      <alignment horizontal="left"/>
    </xf>
    <xf numFmtId="37" fontId="291" fillId="0" borderId="0" applyAlignment="1">
      <alignment horizontal="left" vertical="top"/>
    </xf>
    <xf numFmtId="0" fontId="2" fillId="0" borderId="0" applyAlignment="1">
      <alignment horizontal="left"/>
    </xf>
    <xf numFmtId="0" fontId="292" fillId="32" borderId="0"/>
    <xf numFmtId="0" fontId="293" fillId="34" borderId="0"/>
    <xf numFmtId="0" fontId="277" fillId="0" borderId="0"/>
    <xf numFmtId="9" fontId="294" fillId="0" borderId="0"/>
    <xf numFmtId="0" fontId="295" fillId="0" borderId="0" applyAlignment="1">
      <alignment vertical="center"/>
    </xf>
    <xf numFmtId="0" fontId="27" fillId="0" borderId="0"/>
    <xf numFmtId="164" fontId="295" fillId="0" borderId="0"/>
    <xf numFmtId="170" fontId="60" fillId="0" borderId="0"/>
    <xf numFmtId="170" fontId="295" fillId="0" borderId="0"/>
    <xf numFmtId="170" fontId="295" fillId="0" borderId="0"/>
    <xf numFmtId="327" fontId="35" fillId="0" borderId="0"/>
    <xf numFmtId="328" fontId="60" fillId="0" borderId="0"/>
    <xf numFmtId="328" fontId="295" fillId="0" borderId="0"/>
    <xf numFmtId="328" fontId="295" fillId="0" borderId="0"/>
    <xf numFmtId="0" fontId="295" fillId="0" borderId="0"/>
    <xf numFmtId="0" fontId="5" fillId="0" borderId="0"/>
    <xf numFmtId="0" fontId="295" fillId="0" borderId="0"/>
    <xf numFmtId="329" fontId="35" fillId="0" borderId="0"/>
    <xf numFmtId="37" fontId="35" fillId="0" borderId="0"/>
    <xf numFmtId="329" fontId="35" fillId="0" borderId="0"/>
    <xf numFmtId="37" fontId="35" fillId="0" borderId="0"/>
    <xf numFmtId="192" fontId="295" fillId="0" borderId="0"/>
    <xf numFmtId="39" fontId="295" fillId="0" borderId="0"/>
    <xf numFmtId="330" fontId="60" fillId="0" borderId="0"/>
    <xf numFmtId="330" fontId="295" fillId="0" borderId="0"/>
    <xf numFmtId="330" fontId="295" fillId="0" borderId="0"/>
    <xf numFmtId="39" fontId="295" fillId="0" borderId="0"/>
    <xf numFmtId="39" fontId="295" fillId="0" borderId="0"/>
    <xf numFmtId="39" fontId="295" fillId="0" borderId="0"/>
    <xf numFmtId="39" fontId="295" fillId="0" borderId="0"/>
    <xf numFmtId="330" fontId="295" fillId="0" borderId="0"/>
    <xf numFmtId="39" fontId="295" fillId="0" borderId="0"/>
    <xf numFmtId="330" fontId="295" fillId="0" borderId="0"/>
    <xf numFmtId="331" fontId="295" fillId="0" borderId="0"/>
    <xf numFmtId="331" fontId="295" fillId="0" borderId="0"/>
    <xf numFmtId="331" fontId="295" fillId="0" borderId="0"/>
    <xf numFmtId="331" fontId="295" fillId="0" borderId="0"/>
    <xf numFmtId="331" fontId="295" fillId="0" borderId="0"/>
    <xf numFmtId="331" fontId="295" fillId="0" borderId="0"/>
    <xf numFmtId="332" fontId="295" fillId="0" borderId="0"/>
    <xf numFmtId="331" fontId="295" fillId="0" borderId="0"/>
    <xf numFmtId="332" fontId="295" fillId="0" borderId="0"/>
    <xf numFmtId="332" fontId="295" fillId="0" borderId="0"/>
    <xf numFmtId="332" fontId="295" fillId="0" borderId="0"/>
    <xf numFmtId="332" fontId="295" fillId="0" borderId="0"/>
    <xf numFmtId="331" fontId="295" fillId="0" borderId="0"/>
    <xf numFmtId="332" fontId="295" fillId="0" borderId="0"/>
    <xf numFmtId="333" fontId="45" fillId="0" borderId="0"/>
    <xf numFmtId="333" fontId="45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333" fontId="45" fillId="0" borderId="0"/>
    <xf numFmtId="333" fontId="45" fillId="0" borderId="0"/>
    <xf numFmtId="0" fontId="60" fillId="0" borderId="0"/>
    <xf numFmtId="0" fontId="295" fillId="0" borderId="0"/>
    <xf numFmtId="334" fontId="295" fillId="0" borderId="0"/>
    <xf numFmtId="335" fontId="295" fillId="0" borderId="0"/>
    <xf numFmtId="334" fontId="295" fillId="0" borderId="0"/>
    <xf numFmtId="335" fontId="295" fillId="0" borderId="0"/>
    <xf numFmtId="335" fontId="295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257" fontId="48" fillId="0" borderId="0"/>
    <xf numFmtId="257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257" fontId="48" fillId="0" borderId="0"/>
    <xf numFmtId="0" fontId="48" fillId="0" borderId="0"/>
    <xf numFmtId="0" fontId="48" fillId="0" borderId="0"/>
    <xf numFmtId="38" fontId="5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336" fontId="35" fillId="0" borderId="0"/>
    <xf numFmtId="203" fontId="60" fillId="0" borderId="0"/>
    <xf numFmtId="203" fontId="295" fillId="0" borderId="0"/>
    <xf numFmtId="203" fontId="295" fillId="0" borderId="0"/>
    <xf numFmtId="0" fontId="295" fillId="0" borderId="0"/>
    <xf numFmtId="225" fontId="5" fillId="0" borderId="0"/>
    <xf numFmtId="337" fontId="35" fillId="0" borderId="0"/>
    <xf numFmtId="177" fontId="35" fillId="0" borderId="0"/>
    <xf numFmtId="338" fontId="35" fillId="0" borderId="0"/>
    <xf numFmtId="338" fontId="35" fillId="0" borderId="0"/>
    <xf numFmtId="202" fontId="295" fillId="0" borderId="0"/>
    <xf numFmtId="339" fontId="35" fillId="0" borderId="0"/>
    <xf numFmtId="0" fontId="35" fillId="0" borderId="0"/>
    <xf numFmtId="207" fontId="60" fillId="0" borderId="0" applyAlignment="1">
      <alignment horizontal="right"/>
    </xf>
    <xf numFmtId="207" fontId="295" fillId="0" borderId="0" applyAlignment="1">
      <alignment horizontal="right"/>
    </xf>
    <xf numFmtId="207" fontId="295" fillId="0" borderId="0" applyAlignment="1">
      <alignment horizontal="right"/>
    </xf>
    <xf numFmtId="0" fontId="295" fillId="0" borderId="0"/>
    <xf numFmtId="197" fontId="5" fillId="0" borderId="0"/>
    <xf numFmtId="340" fontId="35" fillId="0" borderId="0"/>
    <xf numFmtId="341" fontId="35" fillId="0" borderId="0"/>
    <xf numFmtId="342" fontId="35" fillId="0" borderId="0"/>
    <xf numFmtId="342" fontId="35" fillId="0" borderId="0"/>
    <xf numFmtId="206" fontId="295" fillId="0" borderId="0"/>
    <xf numFmtId="0" fontId="295" fillId="0" borderId="0"/>
    <xf numFmtId="343" fontId="35" fillId="0" borderId="0"/>
    <xf numFmtId="344" fontId="35" fillId="0" borderId="0"/>
    <xf numFmtId="345" fontId="35" fillId="0" borderId="0"/>
    <xf numFmtId="345" fontId="35" fillId="0" borderId="0"/>
    <xf numFmtId="214" fontId="295" fillId="0" borderId="0"/>
    <xf numFmtId="0" fontId="295" fillId="0" borderId="0"/>
    <xf numFmtId="315" fontId="5" fillId="0" borderId="0"/>
    <xf numFmtId="346" fontId="35" fillId="0" borderId="0"/>
    <xf numFmtId="37" fontId="35" fillId="0" borderId="0"/>
    <xf numFmtId="347" fontId="35" fillId="0" borderId="0"/>
    <xf numFmtId="245" fontId="35" fillId="0" borderId="0"/>
    <xf numFmtId="245" fontId="35" fillId="0" borderId="0"/>
    <xf numFmtId="215" fontId="295" fillId="0" borderId="0"/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257" fontId="49" fillId="0" borderId="0" applyAlignment="1">
      <alignment vertical="top"/>
    </xf>
    <xf numFmtId="257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257" fontId="49" fillId="0" borderId="0" applyAlignment="1">
      <alignment vertical="top"/>
    </xf>
    <xf numFmtId="0" fontId="49" fillId="0" borderId="0"/>
    <xf numFmtId="0" fontId="49" fillId="0" borderId="0" applyAlignment="1">
      <alignment vertical="top"/>
    </xf>
    <xf numFmtId="0" fontId="49" fillId="0" borderId="0" applyAlignment="1">
      <alignment vertical="top"/>
    </xf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75"/>
    <xf numFmtId="0" fontId="50" fillId="0" borderId="75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257" fontId="50" fillId="0" borderId="96"/>
    <xf numFmtId="0" fontId="50" fillId="0" borderId="75"/>
    <xf numFmtId="257" fontId="50" fillId="0" borderId="96"/>
    <xf numFmtId="0" fontId="50" fillId="0" borderId="75"/>
    <xf numFmtId="0" fontId="50" fillId="0" borderId="75"/>
    <xf numFmtId="0" fontId="50" fillId="0" borderId="75"/>
    <xf numFmtId="0" fontId="50" fillId="0" borderId="75"/>
    <xf numFmtId="0" fontId="50" fillId="0" borderId="96"/>
    <xf numFmtId="0" fontId="50" fillId="0" borderId="96"/>
    <xf numFmtId="0" fontId="50" fillId="0" borderId="96"/>
    <xf numFmtId="0" fontId="50" fillId="0" borderId="75"/>
    <xf numFmtId="0" fontId="50" fillId="0" borderId="75"/>
    <xf numFmtId="0" fontId="50" fillId="0" borderId="75"/>
    <xf numFmtId="0" fontId="50" fillId="0" borderId="75"/>
    <xf numFmtId="0" fontId="50" fillId="0" borderId="96"/>
    <xf numFmtId="0" fontId="50" fillId="0" borderId="75"/>
    <xf numFmtId="0" fontId="50" fillId="0" borderId="96"/>
    <xf numFmtId="0" fontId="50" fillId="0" borderId="96"/>
    <xf numFmtId="0" fontId="50" fillId="0" borderId="75"/>
    <xf numFmtId="0" fontId="50" fillId="0" borderId="75"/>
    <xf numFmtId="0" fontId="50" fillId="0" borderId="96"/>
    <xf numFmtId="0" fontId="50" fillId="0" borderId="75"/>
    <xf numFmtId="0" fontId="50" fillId="0" borderId="96"/>
    <xf numFmtId="0" fontId="50" fillId="0" borderId="96"/>
    <xf numFmtId="0" fontId="50" fillId="0" borderId="75"/>
    <xf numFmtId="0" fontId="50" fillId="0" borderId="75"/>
    <xf numFmtId="257" fontId="50" fillId="0" borderId="96"/>
    <xf numFmtId="0" fontId="50" fillId="0" borderId="96"/>
    <xf numFmtId="164" fontId="50" fillId="0" borderId="75"/>
    <xf numFmtId="164" fontId="50" fillId="0" borderId="75"/>
    <xf numFmtId="0" fontId="50" fillId="0" borderId="96"/>
    <xf numFmtId="0" fontId="50" fillId="0" borderId="0"/>
    <xf numFmtId="0" fontId="50" fillId="0" borderId="96"/>
    <xf numFmtId="0" fontId="50" fillId="0" borderId="96"/>
    <xf numFmtId="0" fontId="50" fillId="0" borderId="96"/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257" fontId="51" fillId="0" borderId="29" applyAlignment="1">
      <alignment horizontal="center"/>
    </xf>
    <xf numFmtId="257" fontId="51" fillId="0" borderId="29" applyAlignment="1">
      <alignment horizontal="center"/>
    </xf>
    <xf numFmtId="257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295" fillId="0" borderId="30"/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257" fontId="51" fillId="0" borderId="0" applyAlignment="1">
      <alignment horizontal="left"/>
    </xf>
    <xf numFmtId="257" fontId="51" fillId="0" borderId="0" applyAlignment="1">
      <alignment horizontal="left"/>
    </xf>
    <xf numFmtId="257" fontId="51" fillId="0" borderId="0" applyAlignment="1">
      <alignment horizontal="left"/>
    </xf>
    <xf numFmtId="0" fontId="51" fillId="0" borderId="0" applyAlignment="1">
      <alignment horizontal="left" vertical="top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257" fontId="52" fillId="0" borderId="0" applyAlignment="1">
      <alignment horizontal="centerContinuous"/>
    </xf>
    <xf numFmtId="257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50" fillId="0" borderId="0"/>
    <xf numFmtId="1" fontId="300" fillId="0" borderId="0"/>
    <xf numFmtId="0" fontId="267" fillId="0" borderId="0"/>
    <xf numFmtId="3" fontId="148" fillId="0" borderId="0"/>
    <xf numFmtId="309" fontId="45" fillId="0" borderId="0"/>
    <xf numFmtId="2" fontId="267" fillId="0" borderId="0"/>
    <xf numFmtId="39" fontId="45" fillId="0" borderId="0"/>
    <xf numFmtId="0" fontId="301" fillId="81" borderId="0"/>
    <xf numFmtId="0" fontId="301" fillId="81" borderId="0"/>
    <xf numFmtId="0" fontId="302" fillId="67" borderId="0"/>
    <xf numFmtId="0" fontId="302" fillId="67" borderId="0"/>
    <xf numFmtId="0" fontId="302" fillId="67" borderId="0"/>
    <xf numFmtId="0" fontId="301" fillId="82" borderId="0"/>
    <xf numFmtId="0" fontId="301" fillId="82" borderId="0"/>
    <xf numFmtId="0" fontId="302" fillId="69" borderId="0"/>
    <xf numFmtId="0" fontId="302" fillId="69" borderId="0"/>
    <xf numFmtId="0" fontId="302" fillId="69" borderId="0"/>
    <xf numFmtId="0" fontId="301" fillId="53" borderId="0"/>
    <xf numFmtId="0" fontId="301" fillId="53" borderId="0"/>
    <xf numFmtId="0" fontId="302" fillId="72" borderId="0"/>
    <xf numFmtId="0" fontId="302" fillId="72" borderId="0"/>
    <xf numFmtId="0" fontId="302" fillId="72" borderId="0"/>
    <xf numFmtId="0" fontId="301" fillId="83" borderId="0"/>
    <xf numFmtId="0" fontId="301" fillId="83" borderId="0"/>
    <xf numFmtId="0" fontId="302" fillId="74" borderId="0"/>
    <xf numFmtId="0" fontId="302" fillId="74" borderId="0"/>
    <xf numFmtId="0" fontId="302" fillId="74" borderId="0"/>
    <xf numFmtId="0" fontId="301" fillId="84" borderId="0"/>
    <xf numFmtId="0" fontId="301" fillId="84" borderId="0"/>
    <xf numFmtId="0" fontId="302" fillId="76" borderId="0"/>
    <xf numFmtId="0" fontId="302" fillId="76" borderId="0"/>
    <xf numFmtId="0" fontId="302" fillId="76" borderId="0"/>
    <xf numFmtId="0" fontId="301" fillId="29" borderId="0"/>
    <xf numFmtId="0" fontId="301" fillId="29" borderId="0"/>
    <xf numFmtId="0" fontId="302" fillId="78" borderId="0"/>
    <xf numFmtId="0" fontId="302" fillId="78" borderId="0"/>
    <xf numFmtId="0" fontId="302" fillId="78" borderId="0"/>
    <xf numFmtId="165" fontId="45" fillId="0" borderId="0"/>
    <xf numFmtId="0" fontId="301" fillId="85" borderId="0"/>
    <xf numFmtId="0" fontId="301" fillId="85" borderId="0"/>
    <xf numFmtId="0" fontId="302" fillId="68" borderId="0"/>
    <xf numFmtId="0" fontId="302" fillId="68" borderId="0"/>
    <xf numFmtId="0" fontId="302" fillId="68" borderId="0"/>
    <xf numFmtId="0" fontId="301" fillId="86" borderId="0"/>
    <xf numFmtId="0" fontId="301" fillId="86" borderId="0"/>
    <xf numFmtId="0" fontId="302" fillId="70" borderId="0"/>
    <xf numFmtId="0" fontId="302" fillId="70" borderId="0"/>
    <xf numFmtId="0" fontId="302" fillId="70" borderId="0"/>
    <xf numFmtId="0" fontId="301" fillId="19" borderId="0"/>
    <xf numFmtId="0" fontId="301" fillId="19" borderId="0"/>
    <xf numFmtId="0" fontId="302" fillId="73" borderId="0"/>
    <xf numFmtId="0" fontId="302" fillId="73" borderId="0"/>
    <xf numFmtId="0" fontId="302" fillId="73" borderId="0"/>
    <xf numFmtId="0" fontId="301" fillId="83" borderId="0"/>
    <xf numFmtId="0" fontId="301" fillId="83" borderId="0"/>
    <xf numFmtId="0" fontId="302" fillId="75" borderId="0"/>
    <xf numFmtId="0" fontId="302" fillId="75" borderId="0"/>
    <xf numFmtId="0" fontId="302" fillId="75" borderId="0"/>
    <xf numFmtId="0" fontId="301" fillId="85" borderId="0"/>
    <xf numFmtId="0" fontId="301" fillId="85" borderId="0"/>
    <xf numFmtId="0" fontId="302" fillId="77" borderId="0"/>
    <xf numFmtId="0" fontId="302" fillId="77" borderId="0"/>
    <xf numFmtId="0" fontId="302" fillId="77" borderId="0"/>
    <xf numFmtId="0" fontId="301" fillId="87" borderId="0"/>
    <xf numFmtId="0" fontId="301" fillId="87" borderId="0"/>
    <xf numFmtId="0" fontId="302" fillId="79" borderId="0"/>
    <xf numFmtId="0" fontId="302" fillId="79" borderId="0"/>
    <xf numFmtId="0" fontId="302" fillId="79" borderId="0"/>
    <xf numFmtId="0" fontId="303" fillId="88" borderId="0"/>
    <xf numFmtId="0" fontId="303" fillId="88" borderId="0"/>
    <xf numFmtId="0" fontId="303" fillId="86" borderId="0"/>
    <xf numFmtId="0" fontId="303" fillId="86" borderId="0"/>
    <xf numFmtId="0" fontId="303" fillId="19" borderId="0"/>
    <xf numFmtId="0" fontId="303" fillId="19" borderId="0"/>
    <xf numFmtId="0" fontId="303" fillId="89" borderId="0"/>
    <xf numFmtId="0" fontId="303" fillId="89" borderId="0"/>
    <xf numFmtId="0" fontId="303" fillId="90" borderId="0"/>
    <xf numFmtId="0" fontId="303" fillId="90" borderId="0"/>
    <xf numFmtId="0" fontId="303" fillId="91" borderId="0"/>
    <xf numFmtId="0" fontId="303" fillId="91" borderId="0"/>
    <xf numFmtId="0" fontId="303" fillId="54" borderId="0"/>
    <xf numFmtId="0" fontId="303" fillId="54" borderId="0"/>
    <xf numFmtId="0" fontId="303" fillId="18" borderId="0"/>
    <xf numFmtId="0" fontId="303" fillId="18" borderId="0"/>
    <xf numFmtId="0" fontId="303" fillId="92" borderId="0"/>
    <xf numFmtId="0" fontId="303" fillId="92" borderId="0"/>
    <xf numFmtId="0" fontId="303" fillId="89" borderId="0"/>
    <xf numFmtId="0" fontId="303" fillId="89" borderId="0"/>
    <xf numFmtId="0" fontId="303" fillId="90" borderId="0"/>
    <xf numFmtId="0" fontId="303" fillId="90" borderId="0"/>
    <xf numFmtId="0" fontId="303" fillId="93" borderId="0"/>
    <xf numFmtId="0" fontId="303" fillId="93" borderId="0"/>
    <xf numFmtId="245" fontId="295" fillId="0" borderId="0"/>
    <xf numFmtId="348" fontId="60" fillId="0" borderId="0" applyAlignment="1">
      <alignment vertical="center"/>
    </xf>
    <xf numFmtId="186" fontId="304" fillId="94" borderId="0" applyAlignment="1">
      <alignment horizontal="right"/>
    </xf>
    <xf numFmtId="349" fontId="88" fillId="94" borderId="2" applyAlignment="1">
      <alignment horizontal="right"/>
    </xf>
    <xf numFmtId="0" fontId="4" fillId="0" borderId="0"/>
    <xf numFmtId="350" fontId="295" fillId="0" borderId="0"/>
    <xf numFmtId="0" fontId="295" fillId="0" borderId="0"/>
    <xf numFmtId="0" fontId="305" fillId="0" borderId="32"/>
    <xf numFmtId="0" fontId="24" fillId="0" borderId="32"/>
    <xf numFmtId="0" fontId="153" fillId="0" borderId="32"/>
    <xf numFmtId="0" fontId="306" fillId="0" borderId="0"/>
    <xf numFmtId="0" fontId="307" fillId="71" borderId="0" applyAlignment="1">
      <alignment vertical="center"/>
    </xf>
    <xf numFmtId="0" fontId="308" fillId="82" borderId="0"/>
    <xf numFmtId="0" fontId="308" fillId="82" borderId="0"/>
    <xf numFmtId="0" fontId="1" fillId="35" borderId="76"/>
    <xf numFmtId="351" fontId="309" fillId="35" borderId="0" applyAlignment="1">
      <alignment horizontal="center" vertical="center"/>
    </xf>
    <xf numFmtId="0" fontId="99" fillId="48" borderId="7" applyAlignment="1">
      <alignment horizontal="left"/>
    </xf>
    <xf numFmtId="0" fontId="7" fillId="35" borderId="76"/>
    <xf numFmtId="0" fontId="1" fillId="35" borderId="77" applyAlignment="1">
      <alignment horizontal="center"/>
    </xf>
    <xf numFmtId="7" fontId="152" fillId="0" borderId="0" applyAlignment="1" applyProtection="1">
      <alignment horizontal="right"/>
      <protection locked="0" hidden="0"/>
    </xf>
    <xf numFmtId="0" fontId="60" fillId="0" borderId="0"/>
    <xf numFmtId="248" fontId="60" fillId="0" borderId="76" applyAlignment="1">
      <alignment vertical="center"/>
    </xf>
    <xf numFmtId="0" fontId="41" fillId="0" borderId="38" applyAlignment="1">
      <alignment horizontal="right"/>
    </xf>
    <xf numFmtId="0" fontId="88" fillId="0" borderId="0"/>
    <xf numFmtId="0" fontId="88" fillId="0" borderId="0"/>
    <xf numFmtId="0" fontId="88" fillId="0" borderId="0"/>
    <xf numFmtId="0" fontId="310" fillId="0" borderId="0"/>
    <xf numFmtId="0" fontId="15" fillId="0" borderId="0"/>
    <xf numFmtId="2" fontId="4" fillId="95" borderId="0"/>
    <xf numFmtId="0" fontId="311" fillId="52" borderId="78"/>
    <xf numFmtId="0" fontId="311" fillId="52" borderId="78"/>
    <xf numFmtId="0" fontId="312" fillId="96" borderId="79"/>
    <xf numFmtId="0" fontId="312" fillId="96" borderId="79"/>
    <xf numFmtId="352" fontId="295" fillId="0" borderId="0"/>
    <xf numFmtId="0" fontId="313" fillId="0" borderId="0" applyAlignment="1" applyProtection="1">
      <alignment vertical="top"/>
      <protection locked="0" hidden="0"/>
    </xf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43" fontId="35" fillId="0" borderId="0"/>
    <xf numFmtId="274" fontId="35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2" fillId="0" borderId="0"/>
    <xf numFmtId="43" fontId="302" fillId="0" borderId="0"/>
    <xf numFmtId="332" fontId="302" fillId="0" borderId="0"/>
    <xf numFmtId="43" fontId="295" fillId="0" borderId="0"/>
    <xf numFmtId="332" fontId="302" fillId="0" borderId="0"/>
    <xf numFmtId="332" fontId="302" fillId="0" borderId="0"/>
    <xf numFmtId="332" fontId="302" fillId="0" borderId="0"/>
    <xf numFmtId="332" fontId="295" fillId="0" borderId="0"/>
    <xf numFmtId="43" fontId="295" fillId="0" borderId="0"/>
    <xf numFmtId="332" fontId="35" fillId="0" borderId="0"/>
    <xf numFmtId="332" fontId="295" fillId="0" borderId="0"/>
    <xf numFmtId="332" fontId="314" fillId="0" borderId="0"/>
    <xf numFmtId="332" fontId="35" fillId="0" borderId="0"/>
    <xf numFmtId="332" fontId="295" fillId="0" borderId="0"/>
    <xf numFmtId="43" fontId="295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15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55" fillId="0" borderId="0"/>
    <xf numFmtId="332" fontId="295" fillId="0" borderId="0"/>
    <xf numFmtId="332" fontId="295" fillId="0" borderId="0"/>
    <xf numFmtId="332" fontId="295" fillId="0" borderId="0"/>
    <xf numFmtId="332" fontId="295" fillId="0" borderId="0"/>
    <xf numFmtId="332" fontId="295" fillId="0" borderId="0"/>
    <xf numFmtId="332" fontId="315" fillId="0" borderId="0"/>
    <xf numFmtId="332" fontId="295" fillId="0" borderId="0"/>
    <xf numFmtId="332" fontId="295" fillId="0" borderId="0"/>
    <xf numFmtId="332" fontId="295" fillId="0" borderId="0"/>
    <xf numFmtId="332" fontId="295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295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53" fontId="45" fillId="0" borderId="0"/>
    <xf numFmtId="37" fontId="316" fillId="0" borderId="0"/>
    <xf numFmtId="0" fontId="317" fillId="40" borderId="0" applyAlignment="1">
      <alignment horizontal="center" vertical="center" wrapText="1"/>
    </xf>
    <xf numFmtId="3" fontId="295" fillId="13" borderId="0" applyProtection="1">
      <protection locked="1" hidden="1"/>
    </xf>
    <xf numFmtId="0" fontId="295" fillId="13" borderId="0" applyProtection="1">
      <protection locked="1" hidden="1"/>
    </xf>
    <xf numFmtId="0" fontId="318" fillId="13" borderId="0" applyProtection="1">
      <protection locked="1" hidden="1"/>
    </xf>
    <xf numFmtId="354" fontId="38" fillId="13" borderId="0" applyProtection="1">
      <protection locked="1" hidden="1"/>
    </xf>
    <xf numFmtId="294" fontId="295" fillId="0" borderId="80"/>
    <xf numFmtId="214" fontId="295" fillId="0" borderId="0"/>
    <xf numFmtId="355" fontId="295" fillId="0" borderId="0"/>
    <xf numFmtId="16" fontId="319" fillId="0" borderId="0"/>
    <xf numFmtId="15" fontId="319" fillId="0" borderId="0"/>
    <xf numFmtId="17" fontId="319" fillId="0" borderId="0"/>
    <xf numFmtId="356" fontId="295" fillId="0" borderId="30"/>
    <xf numFmtId="186" fontId="295" fillId="0" borderId="0"/>
    <xf numFmtId="0" fontId="318" fillId="0" borderId="0" applyProtection="1">
      <protection locked="1" hidden="1"/>
    </xf>
    <xf numFmtId="0" fontId="295" fillId="0" borderId="0" applyProtection="1">
      <protection locked="1" hidden="1"/>
    </xf>
    <xf numFmtId="0" fontId="34" fillId="0" borderId="0" applyProtection="1">
      <protection locked="1" hidden="1"/>
    </xf>
    <xf numFmtId="357" fontId="60" fillId="0" borderId="0"/>
    <xf numFmtId="3" fontId="318" fillId="0" borderId="81"/>
    <xf numFmtId="0" fontId="56" fillId="0" borderId="0"/>
    <xf numFmtId="358" fontId="295" fillId="0" borderId="0"/>
    <xf numFmtId="359" fontId="295" fillId="0" borderId="0"/>
    <xf numFmtId="0" fontId="294" fillId="0" borderId="0"/>
    <xf numFmtId="173" fontId="294" fillId="0" borderId="0"/>
    <xf numFmtId="0" fontId="294" fillId="0" borderId="0"/>
    <xf numFmtId="0" fontId="294" fillId="0" borderId="0"/>
    <xf numFmtId="0" fontId="295" fillId="0" borderId="0"/>
    <xf numFmtId="0" fontId="321" fillId="0" borderId="85"/>
    <xf numFmtId="0" fontId="3" fillId="3" borderId="94"/>
    <xf numFmtId="0" fontId="294" fillId="0" borderId="0"/>
    <xf numFmtId="0" fontId="294" fillId="0" borderId="0"/>
    <xf numFmtId="0" fontId="295" fillId="0" borderId="0" applyAlignment="1">
      <alignment vertical="center"/>
    </xf>
    <xf numFmtId="41" fontId="295" fillId="0" borderId="0"/>
    <xf numFmtId="0" fontId="16" fillId="0" borderId="0"/>
    <xf numFmtId="0" fontId="260" fillId="0" borderId="0"/>
    <xf numFmtId="0" fontId="294" fillId="0" borderId="0"/>
    <xf numFmtId="0" fontId="312" fillId="99" borderId="0"/>
    <xf numFmtId="0" fontId="107" fillId="0" borderId="0" applyAlignment="1">
      <alignment horizontal="right"/>
    </xf>
    <xf numFmtId="43" fontId="294" fillId="0" borderId="0"/>
    <xf numFmtId="164" fontId="309" fillId="100" borderId="0" applyAlignment="1">
      <alignment vertical="center"/>
    </xf>
    <xf numFmtId="0" fontId="324" fillId="0" borderId="86"/>
    <xf numFmtId="164" fontId="325" fillId="0" borderId="0"/>
    <xf numFmtId="0" fontId="326" fillId="101" borderId="0" applyAlignment="1">
      <alignment vertical="center"/>
    </xf>
    <xf numFmtId="164" fontId="8" fillId="3" borderId="95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41" fontId="60" fillId="3" borderId="95"/>
    <xf numFmtId="236" fontId="4" fillId="3" borderId="95"/>
    <xf numFmtId="168" fontId="60" fillId="3" borderId="95"/>
    <xf numFmtId="243" fontId="3" fillId="3" borderId="94"/>
    <xf numFmtId="0" fontId="81" fillId="14" borderId="69" applyProtection="1">
      <protection locked="0" hidden="0"/>
    </xf>
    <xf numFmtId="260" fontId="74" fillId="0" borderId="82"/>
    <xf numFmtId="0" fontId="34" fillId="0" borderId="69"/>
    <xf numFmtId="0" fontId="34" fillId="0" borderId="82"/>
    <xf numFmtId="0" fontId="31" fillId="0" borderId="82"/>
    <xf numFmtId="245" fontId="37" fillId="0" borderId="82"/>
    <xf numFmtId="43" fontId="37" fillId="0" borderId="82"/>
    <xf numFmtId="41" fontId="15" fillId="0" borderId="82"/>
    <xf numFmtId="179" fontId="15" fillId="0" borderId="82"/>
    <xf numFmtId="168" fontId="4" fillId="0" borderId="82"/>
    <xf numFmtId="223" fontId="4" fillId="0" borderId="82"/>
    <xf numFmtId="191" fontId="4" fillId="0" borderId="82"/>
    <xf numFmtId="44" fontId="15" fillId="0" borderId="82"/>
    <xf numFmtId="7" fontId="15" fillId="0" borderId="82"/>
    <xf numFmtId="15" fontId="118" fillId="0" borderId="82" applyAlignment="1">
      <alignment horizontal="center"/>
    </xf>
    <xf numFmtId="14" fontId="149" fillId="3" borderId="94" applyAlignment="1">
      <alignment horizontal="right"/>
    </xf>
    <xf numFmtId="168" fontId="295" fillId="3" borderId="93" applyAlignment="1">
      <alignment horizontal="right"/>
    </xf>
    <xf numFmtId="164" fontId="149" fillId="3" borderId="94" applyAlignment="1">
      <alignment horizontal="right"/>
    </xf>
    <xf numFmtId="164" fontId="149" fillId="3" borderId="94" applyAlignment="1">
      <alignment horizontal="right"/>
    </xf>
    <xf numFmtId="193" fontId="35" fillId="0" borderId="69"/>
    <xf numFmtId="10" fontId="38" fillId="0" borderId="69"/>
    <xf numFmtId="10" fontId="38" fillId="0" borderId="69"/>
    <xf numFmtId="314" fontId="84" fillId="3" borderId="94" applyAlignment="1">
      <alignment horizontal="right"/>
    </xf>
    <xf numFmtId="9" fontId="15" fillId="0" borderId="82"/>
    <xf numFmtId="182" fontId="295" fillId="14" borderId="69"/>
    <xf numFmtId="168" fontId="15" fillId="0" borderId="82"/>
    <xf numFmtId="10" fontId="15" fillId="0" borderId="82"/>
    <xf numFmtId="314" fontId="84" fillId="3" borderId="94" applyAlignment="1">
      <alignment horizontal="right"/>
    </xf>
    <xf numFmtId="0" fontId="4" fillId="0" borderId="82"/>
    <xf numFmtId="179" fontId="31" fillId="0" borderId="82" applyAlignment="1">
      <alignment horizontal="right"/>
    </xf>
    <xf numFmtId="245" fontId="38" fillId="0" borderId="82"/>
    <xf numFmtId="179" fontId="38" fillId="0" borderId="82"/>
    <xf numFmtId="43" fontId="38" fillId="0" borderId="82"/>
    <xf numFmtId="0" fontId="2" fillId="0" borderId="82" applyAlignment="1">
      <alignment horizontal="right"/>
    </xf>
    <xf numFmtId="3" fontId="50" fillId="0" borderId="82"/>
    <xf numFmtId="0" fontId="72" fillId="14" borderId="82" applyProtection="1">
      <protection locked="0" hidden="0"/>
    </xf>
    <xf numFmtId="253" fontId="4" fillId="0" borderId="82"/>
    <xf numFmtId="252" fontId="4" fillId="0" borderId="82"/>
    <xf numFmtId="164" fontId="295" fillId="0" borderId="82"/>
    <xf numFmtId="0" fontId="35" fillId="0" borderId="82" applyAlignment="1">
      <alignment vertical="top"/>
    </xf>
    <xf numFmtId="164" fontId="3" fillId="3" borderId="94"/>
    <xf numFmtId="164" fontId="8" fillId="3" borderId="95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0" fontId="8" fillId="3" borderId="95"/>
    <xf numFmtId="0" fontId="60" fillId="0" borderId="82"/>
    <xf numFmtId="0" fontId="295" fillId="0" borderId="0" applyAlignment="1">
      <alignment vertical="center"/>
    </xf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257" fontId="50" fillId="0" borderId="96"/>
    <xf numFmtId="257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257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99" fillId="48" borderId="83" applyAlignment="1">
      <alignment horizontal="left"/>
    </xf>
    <xf numFmtId="0" fontId="342" fillId="80" borderId="0"/>
  </cellStyleXfs>
  <cellXfs count="553">
    <xf numFmtId="0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4" fontId="11" fillId="0" borderId="0" pivotButton="0" quotePrefix="0" xfId="0"/>
    <xf numFmtId="4" fontId="12" fillId="0" borderId="0" pivotButton="0" quotePrefix="0" xfId="0"/>
    <xf numFmtId="164" fontId="14" fillId="0" borderId="0" pivotButton="0" quotePrefix="0" xfId="0"/>
    <xf numFmtId="165" fontId="9" fillId="0" borderId="0" applyAlignment="1" pivotButton="0" quotePrefix="0" xfId="0">
      <alignment horizontal="right"/>
    </xf>
    <xf numFmtId="0" fontId="14" fillId="0" borderId="0" pivotButton="0" quotePrefix="0" xfId="0"/>
    <xf numFmtId="164" fontId="8" fillId="0" borderId="0" applyAlignment="1" pivotButton="0" quotePrefix="0" xfId="0">
      <alignment horizontal="left"/>
    </xf>
    <xf numFmtId="15" fontId="8" fillId="0" borderId="0" applyAlignment="1" pivotButton="0" quotePrefix="0" xfId="0">
      <alignment horizontal="left"/>
    </xf>
    <xf numFmtId="164" fontId="8" fillId="0" borderId="0" pivotButton="0" quotePrefix="0" xfId="0"/>
    <xf numFmtId="165" fontId="14" fillId="0" borderId="0" pivotButton="0" quotePrefix="0" xfId="0"/>
    <xf numFmtId="164" fontId="14" fillId="0" borderId="0" applyAlignment="1" pivotButton="0" quotePrefix="0" xfId="0">
      <alignment horizontal="right"/>
    </xf>
    <xf numFmtId="166" fontId="14" fillId="0" borderId="0" applyAlignment="1" pivotButton="0" quotePrefix="0" xfId="0">
      <alignment horizontal="right"/>
    </xf>
    <xf numFmtId="164" fontId="9" fillId="0" borderId="0" pivotButton="0" quotePrefix="0" xfId="0"/>
    <xf numFmtId="4" fontId="0" fillId="0" borderId="15" pivotButton="0" quotePrefix="0" xfId="0"/>
    <xf numFmtId="164" fontId="22" fillId="7" borderId="4" applyAlignment="1" pivotButton="0" quotePrefix="0" xfId="0">
      <alignment horizontal="left"/>
    </xf>
    <xf numFmtId="164" fontId="17" fillId="7" borderId="2" applyAlignment="1" pivotButton="0" quotePrefix="0" xfId="0">
      <alignment horizontal="left"/>
    </xf>
    <xf numFmtId="15" fontId="8" fillId="7" borderId="2" applyAlignment="1" pivotButton="0" quotePrefix="0" xfId="0">
      <alignment horizontal="left"/>
    </xf>
    <xf numFmtId="164" fontId="8" fillId="7" borderId="2" pivotButton="0" quotePrefix="0" xfId="0"/>
    <xf numFmtId="164" fontId="14" fillId="7" borderId="2" pivotButton="0" quotePrefix="0" xfId="0"/>
    <xf numFmtId="165" fontId="14" fillId="7" borderId="2" pivotButton="0" quotePrefix="0" xfId="0"/>
    <xf numFmtId="164" fontId="14" fillId="7" borderId="5" pivotButton="0" quotePrefix="0" xfId="0"/>
    <xf numFmtId="164" fontId="25" fillId="0" borderId="0" pivotButton="0" quotePrefix="0" xfId="0"/>
    <xf numFmtId="0" fontId="21" fillId="0" borderId="2" pivotButton="0" quotePrefix="0" xfId="0"/>
    <xf numFmtId="164" fontId="2" fillId="7" borderId="2" pivotButton="0" quotePrefix="0" xfId="0"/>
    <xf numFmtId="0" fontId="21" fillId="0" borderId="0" pivotButton="0" quotePrefix="0" xfId="0"/>
    <xf numFmtId="165" fontId="0" fillId="8" borderId="13" pivotButton="0" quotePrefix="0" xfId="0"/>
    <xf numFmtId="0" fontId="6" fillId="0" borderId="0" pivotButton="0" quotePrefix="0" xfId="1686"/>
    <xf numFmtId="0" fontId="21" fillId="8" borderId="13" applyAlignment="1" pivotButton="0" quotePrefix="0" xfId="0">
      <alignment horizontal="center"/>
    </xf>
    <xf numFmtId="164" fontId="14" fillId="0" borderId="0" applyAlignment="1" pivotButton="0" quotePrefix="0" xfId="0">
      <alignment horizontal="left"/>
    </xf>
    <xf numFmtId="0" fontId="259" fillId="0" borderId="0" pivotButton="0" quotePrefix="0" xfId="0"/>
    <xf numFmtId="164" fontId="258" fillId="0" borderId="0" pivotButton="0" quotePrefix="0" xfId="0"/>
    <xf numFmtId="164" fontId="6" fillId="0" borderId="2" pivotButton="0" quotePrefix="0" xfId="0"/>
    <xf numFmtId="0" fontId="258" fillId="0" borderId="0" pivotButton="0" quotePrefix="0" xfId="0"/>
    <xf numFmtId="0" fontId="25" fillId="0" borderId="0" pivotButton="0" quotePrefix="0" xfId="0"/>
    <xf numFmtId="0" fontId="261" fillId="60" borderId="65" pivotButton="0" quotePrefix="0" xfId="0"/>
    <xf numFmtId="166" fontId="261" fillId="60" borderId="65" applyAlignment="1" pivotButton="0" quotePrefix="0" xfId="0">
      <alignment horizontal="right"/>
    </xf>
    <xf numFmtId="0" fontId="261" fillId="0" borderId="0" pivotButton="0" quotePrefix="0" xfId="0"/>
    <xf numFmtId="0" fontId="262" fillId="0" borderId="0" applyAlignment="1" pivotButton="0" quotePrefix="0" xfId="0">
      <alignment horizontal="left" indent="1"/>
    </xf>
    <xf numFmtId="164" fontId="261" fillId="0" borderId="0" pivotButton="0" quotePrefix="0" xfId="0"/>
    <xf numFmtId="0" fontId="0" fillId="0" borderId="11" pivotButton="0" quotePrefix="0" xfId="0"/>
    <xf numFmtId="0" fontId="263" fillId="61" borderId="0" applyAlignment="1" pivotButton="0" quotePrefix="0" xfId="0">
      <alignment horizontal="left"/>
    </xf>
    <xf numFmtId="167" fontId="261" fillId="60" borderId="65" applyAlignment="1" pivotButton="0" quotePrefix="0" xfId="0">
      <alignment horizontal="right"/>
    </xf>
    <xf numFmtId="4" fontId="261" fillId="0" borderId="0" pivotButton="0" quotePrefix="0" xfId="0"/>
    <xf numFmtId="0" fontId="265" fillId="0" borderId="0" pivotButton="0" quotePrefix="0" xfId="0"/>
    <xf numFmtId="0" fontId="263" fillId="62" borderId="0" pivotButton="0" quotePrefix="0" xfId="0"/>
    <xf numFmtId="164" fontId="263" fillId="62" borderId="0" pivotButton="0" quotePrefix="0" xfId="0"/>
    <xf numFmtId="164" fontId="21" fillId="0" borderId="2" pivotButton="0" quotePrefix="0" xfId="0"/>
    <xf numFmtId="0" fontId="21" fillId="8" borderId="0" applyAlignment="1" pivotButton="0" quotePrefix="0" xfId="0">
      <alignment horizontal="center"/>
    </xf>
    <xf numFmtId="0" fontId="21" fillId="8" borderId="14" applyAlignment="1" pivotButton="0" quotePrefix="0" xfId="0">
      <alignment horizontal="center"/>
    </xf>
    <xf numFmtId="165" fontId="16" fillId="0" borderId="1" pivotButton="0" quotePrefix="0" xfId="0"/>
    <xf numFmtId="165" fontId="0" fillId="0" borderId="0" pivotButton="0" quotePrefix="0" xfId="0"/>
    <xf numFmtId="0" fontId="251" fillId="0" borderId="0" pivotButton="0" quotePrefix="0" xfId="0"/>
    <xf numFmtId="165" fontId="251" fillId="0" borderId="0" pivotButton="0" quotePrefix="0" xfId="0"/>
    <xf numFmtId="0" fontId="0" fillId="0" borderId="2" pivotButton="0" quotePrefix="0" xfId="0"/>
    <xf numFmtId="0" fontId="0" fillId="0" borderId="8" pivotButton="0" quotePrefix="0" xfId="0"/>
    <xf numFmtId="165" fontId="21" fillId="0" borderId="2" pivotButton="0" quotePrefix="0" xfId="0"/>
    <xf numFmtId="0" fontId="252" fillId="8" borderId="13" pivotButton="0" quotePrefix="0" xfId="0"/>
    <xf numFmtId="10" fontId="0" fillId="8" borderId="0" pivotButton="0" quotePrefix="0" xfId="0"/>
    <xf numFmtId="10" fontId="0" fillId="8" borderId="14" pivotButton="0" quotePrefix="0" xfId="0"/>
    <xf numFmtId="37" fontId="0" fillId="0" borderId="7" pivotButton="0" quotePrefix="0" xfId="0"/>
    <xf numFmtId="37" fontId="0" fillId="0" borderId="8" pivotButton="0" quotePrefix="0" xfId="0"/>
    <xf numFmtId="37" fontId="0" fillId="0" borderId="9" pivotButton="0" quotePrefix="0" xfId="0"/>
    <xf numFmtId="37" fontId="0" fillId="0" borderId="13" pivotButton="0" quotePrefix="0" xfId="0"/>
    <xf numFmtId="37" fontId="0" fillId="8" borderId="0" pivotButton="0" quotePrefix="0" xfId="0"/>
    <xf numFmtId="37" fontId="0" fillId="0" borderId="0" pivotButton="0" quotePrefix="0" xfId="0"/>
    <xf numFmtId="37" fontId="0" fillId="0" borderId="14" pivotButton="0" quotePrefix="0" xfId="0"/>
    <xf numFmtId="37" fontId="0" fillId="0" borderId="10" pivotButton="0" quotePrefix="0" xfId="0"/>
    <xf numFmtId="37" fontId="0" fillId="0" borderId="11" pivotButton="0" quotePrefix="0" xfId="0"/>
    <xf numFmtId="37" fontId="0" fillId="0" borderId="12" pivotButton="0" quotePrefix="0" xfId="0"/>
    <xf numFmtId="0" fontId="261" fillId="60" borderId="0" pivotButton="0" quotePrefix="0" xfId="0"/>
    <xf numFmtId="0" fontId="0" fillId="0" borderId="69" pivotButton="0" quotePrefix="0" xfId="0"/>
    <xf numFmtId="165" fontId="251" fillId="0" borderId="69" pivotButton="0" quotePrefix="0" xfId="0"/>
    <xf numFmtId="0" fontId="255" fillId="60" borderId="65" pivotButton="0" quotePrefix="0" xfId="0"/>
    <xf numFmtId="0" fontId="263" fillId="63" borderId="0" pivotButton="0" quotePrefix="0" xfId="0"/>
    <xf numFmtId="164" fontId="261" fillId="60" borderId="0" pivotButton="0" quotePrefix="0" xfId="0"/>
    <xf numFmtId="164" fontId="261" fillId="60" borderId="65" pivotButton="0" quotePrefix="0" xfId="0"/>
    <xf numFmtId="0" fontId="261" fillId="60" borderId="65" applyAlignment="1" pivotButton="0" quotePrefix="0" xfId="0">
      <alignment horizontal="center"/>
    </xf>
    <xf numFmtId="0" fontId="21" fillId="8" borderId="0" applyAlignment="1" pivotButton="0" quotePrefix="0" xfId="0">
      <alignment horizontal="left"/>
    </xf>
    <xf numFmtId="164" fontId="261" fillId="0" borderId="0" applyAlignment="1" pivotButton="0" quotePrefix="0" xfId="0">
      <alignment horizontal="right"/>
    </xf>
    <xf numFmtId="165" fontId="21" fillId="0" borderId="0" pivotButton="0" quotePrefix="0" xfId="0"/>
    <xf numFmtId="164" fontId="0" fillId="0" borderId="8" pivotButton="0" quotePrefix="0" xfId="0"/>
    <xf numFmtId="165" fontId="21" fillId="0" borderId="8" pivotButton="0" quotePrefix="0" xfId="0"/>
    <xf numFmtId="0" fontId="251" fillId="0" borderId="11" pivotButton="0" quotePrefix="0" xfId="0"/>
    <xf numFmtId="168" fontId="251" fillId="0" borderId="11" pivotButton="0" quotePrefix="0" xfId="2309"/>
    <xf numFmtId="165" fontId="21" fillId="0" borderId="11" pivotButton="0" quotePrefix="0" xfId="0"/>
    <xf numFmtId="0" fontId="263" fillId="65" borderId="0" applyAlignment="1" pivotButton="0" quotePrefix="0" xfId="0">
      <alignment horizontal="center"/>
    </xf>
    <xf numFmtId="164" fontId="263" fillId="7" borderId="8" applyAlignment="1" pivotButton="0" quotePrefix="0" xfId="0">
      <alignment horizontal="left"/>
    </xf>
    <xf numFmtId="164" fontId="17" fillId="7" borderId="8" applyAlignment="1" pivotButton="0" quotePrefix="0" xfId="0">
      <alignment horizontal="left"/>
    </xf>
    <xf numFmtId="15" fontId="8" fillId="7" borderId="8" applyAlignment="1" pivotButton="0" quotePrefix="0" xfId="0">
      <alignment horizontal="left"/>
    </xf>
    <xf numFmtId="164" fontId="22" fillId="7" borderId="8" applyAlignment="1" pivotButton="0" quotePrefix="0" xfId="0">
      <alignment horizontal="left"/>
    </xf>
    <xf numFmtId="0" fontId="6" fillId="0" borderId="0" pivotButton="0" quotePrefix="0" xfId="0"/>
    <xf numFmtId="0" fontId="16" fillId="0" borderId="0" pivotButton="0" quotePrefix="0" xfId="0"/>
    <xf numFmtId="0" fontId="9" fillId="0" borderId="0" applyAlignment="1" pivotButton="0" quotePrefix="0" xfId="0">
      <alignment horizontal="right"/>
    </xf>
    <xf numFmtId="0" fontId="262" fillId="0" borderId="0" applyAlignment="1" pivotButton="0" quotePrefix="0" xfId="0">
      <alignment horizontal="right"/>
    </xf>
    <xf numFmtId="0" fontId="296" fillId="0" borderId="0" applyAlignment="1" pivotButton="0" quotePrefix="0" xfId="0">
      <alignment horizontal="right"/>
    </xf>
    <xf numFmtId="0" fontId="261" fillId="0" borderId="11" pivotButton="0" quotePrefix="0" xfId="0"/>
    <xf numFmtId="0" fontId="6" fillId="0" borderId="11" pivotButton="0" quotePrefix="0" xfId="0"/>
    <xf numFmtId="167" fontId="261" fillId="60" borderId="0" applyAlignment="1" pivotButton="0" quotePrefix="0" xfId="0">
      <alignment horizontal="right"/>
    </xf>
    <xf numFmtId="167" fontId="261" fillId="60" borderId="0" pivotButton="0" quotePrefix="0" xfId="0"/>
    <xf numFmtId="0" fontId="263" fillId="65" borderId="0" pivotButton="0" quotePrefix="0" xfId="0"/>
    <xf numFmtId="167" fontId="263" fillId="65" borderId="0" applyAlignment="1" pivotButton="0" quotePrefix="0" xfId="0">
      <alignment horizontal="right"/>
    </xf>
    <xf numFmtId="165" fontId="262" fillId="0" borderId="0" applyAlignment="1" pivotButton="0" quotePrefix="0" xfId="0">
      <alignment horizontal="right"/>
    </xf>
    <xf numFmtId="164" fontId="261" fillId="0" borderId="2" pivotButton="0" quotePrefix="0" xfId="0"/>
    <xf numFmtId="0" fontId="261" fillId="0" borderId="0" pivotButton="0" quotePrefix="0" xfId="1686"/>
    <xf numFmtId="0" fontId="262" fillId="0" borderId="0" applyAlignment="1" pivotButton="0" quotePrefix="1" xfId="0">
      <alignment horizontal="left" indent="1"/>
    </xf>
    <xf numFmtId="164" fontId="16" fillId="0" borderId="2" pivotButton="0" quotePrefix="0" xfId="0"/>
    <xf numFmtId="10" fontId="14" fillId="0" borderId="0" pivotButton="0" quotePrefix="0" xfId="0"/>
    <xf numFmtId="164" fontId="6" fillId="0" borderId="0" pivotButton="0" quotePrefix="0" xfId="0"/>
    <xf numFmtId="164" fontId="297" fillId="0" borderId="2" pivotButton="0" quotePrefix="0" xfId="0"/>
    <xf numFmtId="15" fontId="16" fillId="5" borderId="73" applyAlignment="1" pivotButton="0" quotePrefix="0" xfId="2">
      <alignment horizontal="right"/>
    </xf>
    <xf numFmtId="15" fontId="261" fillId="0" borderId="73" applyAlignment="1" pivotButton="0" quotePrefix="0" xfId="2">
      <alignment horizontal="right"/>
    </xf>
    <xf numFmtId="168" fontId="299" fillId="0" borderId="0" pivotButton="0" quotePrefix="0" xfId="2309"/>
    <xf numFmtId="169" fontId="16" fillId="0" borderId="6" pivotButton="0" quotePrefix="0" xfId="0"/>
    <xf numFmtId="170" fontId="261" fillId="0" borderId="0" pivotButton="0" quotePrefix="0" xfId="0"/>
    <xf numFmtId="170" fontId="261" fillId="0" borderId="0" applyAlignment="1" pivotButton="0" quotePrefix="0" xfId="0">
      <alignment horizontal="right"/>
    </xf>
    <xf numFmtId="169" fontId="262" fillId="0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69" fontId="298" fillId="3" borderId="1" pivotButton="0" quotePrefix="0" xfId="2311"/>
    <xf numFmtId="15" fontId="16" fillId="80" borderId="1" applyAlignment="1" pivotButton="0" quotePrefix="0" xfId="2">
      <alignment horizontal="right"/>
    </xf>
    <xf numFmtId="164" fontId="8" fillId="80" borderId="6" applyAlignment="1" pivotButton="0" quotePrefix="0" xfId="0">
      <alignment horizontal="right"/>
    </xf>
    <xf numFmtId="171" fontId="6" fillId="0" borderId="0" pivotButton="0" quotePrefix="0" xfId="1686"/>
    <xf numFmtId="171" fontId="261" fillId="0" borderId="8" pivotButton="0" quotePrefix="0" xfId="0"/>
    <xf numFmtId="170" fontId="261" fillId="0" borderId="11" pivotButton="0" quotePrefix="0" xfId="0"/>
    <xf numFmtId="172" fontId="0" fillId="0" borderId="0" pivotButton="0" quotePrefix="0" xfId="0"/>
    <xf numFmtId="0" fontId="261" fillId="60" borderId="65" applyAlignment="1" pivotButton="0" quotePrefix="0" xfId="0">
      <alignment horizontal="right"/>
    </xf>
    <xf numFmtId="168" fontId="0" fillId="8" borderId="13" pivotButton="0" quotePrefix="0" xfId="0"/>
    <xf numFmtId="168" fontId="0" fillId="8" borderId="10" pivotButton="0" quotePrefix="0" xfId="0"/>
    <xf numFmtId="164" fontId="297" fillId="0" borderId="0" pivotButton="0" quotePrefix="0" xfId="0"/>
    <xf numFmtId="164" fontId="0" fillId="0" borderId="2" pivotButton="0" quotePrefix="0" xfId="0"/>
    <xf numFmtId="164" fontId="0" fillId="0" borderId="70" pivotButton="0" quotePrefix="0" xfId="0"/>
    <xf numFmtId="164" fontId="0" fillId="0" borderId="11" pivotButton="0" quotePrefix="0" xfId="0"/>
    <xf numFmtId="171" fontId="0" fillId="0" borderId="8" pivotButton="0" quotePrefix="0" xfId="0"/>
    <xf numFmtId="170" fontId="0" fillId="0" borderId="11" pivotButton="0" quotePrefix="0" xfId="0"/>
    <xf numFmtId="164" fontId="263" fillId="61" borderId="0" applyAlignment="1" pivotButton="0" quotePrefix="0" xfId="0">
      <alignment horizontal="right"/>
    </xf>
    <xf numFmtId="164" fontId="263" fillId="61" borderId="0" applyAlignment="1" pivotButton="0" quotePrefix="0" xfId="0">
      <alignment horizontal="left"/>
    </xf>
    <xf numFmtId="172" fontId="0" fillId="8" borderId="0" pivotButton="0" quotePrefix="0" xfId="0"/>
    <xf numFmtId="172" fontId="0" fillId="8" borderId="14" pivotButton="0" quotePrefix="0" xfId="0"/>
    <xf numFmtId="166" fontId="261" fillId="60" borderId="0" applyAlignment="1" pivotButton="0" quotePrefix="0" xfId="0">
      <alignment horizontal="right"/>
    </xf>
    <xf numFmtId="167" fontId="16" fillId="60" borderId="65" applyAlignment="1" pivotButton="0" quotePrefix="0" xfId="0">
      <alignment horizontal="right"/>
    </xf>
    <xf numFmtId="169" fontId="0" fillId="0" borderId="0" pivotButton="0" quotePrefix="0" xfId="0"/>
    <xf numFmtId="164" fontId="320" fillId="0" borderId="0" pivotButton="0" quotePrefix="0" xfId="0"/>
    <xf numFmtId="164" fontId="1" fillId="0" borderId="0" pivotButton="0" quotePrefix="0" xfId="0"/>
    <xf numFmtId="0" fontId="320" fillId="0" borderId="0" pivotButton="0" quotePrefix="0" xfId="0"/>
    <xf numFmtId="0" fontId="1" fillId="0" borderId="0" pivotButton="0" quotePrefix="0" xfId="0"/>
    <xf numFmtId="169" fontId="298" fillId="3" borderId="74" pivotButton="0" quotePrefix="0" xfId="2311"/>
    <xf numFmtId="164" fontId="16" fillId="0" borderId="0" pivotButton="0" quotePrefix="0" xfId="0"/>
    <xf numFmtId="172" fontId="297" fillId="0" borderId="72" pivotButton="0" quotePrefix="0" xfId="0"/>
    <xf numFmtId="10" fontId="297" fillId="0" borderId="72" pivotButton="0" quotePrefix="0" xfId="0"/>
    <xf numFmtId="165" fontId="297" fillId="0" borderId="62" pivotButton="0" quotePrefix="0" xfId="0"/>
    <xf numFmtId="164" fontId="252" fillId="8" borderId="13" pivotButton="0" quotePrefix="0" xfId="0"/>
    <xf numFmtId="171" fontId="0" fillId="0" borderId="0" pivotButton="0" quotePrefix="0" xfId="0"/>
    <xf numFmtId="0" fontId="19" fillId="0" borderId="0" pivotButton="0" quotePrefix="0" xfId="3623"/>
    <xf numFmtId="0" fontId="16" fillId="0" borderId="0" pivotButton="0" quotePrefix="0" xfId="3623"/>
    <xf numFmtId="169" fontId="262" fillId="3" borderId="1" pivotButton="0" quotePrefix="0" xfId="2311"/>
    <xf numFmtId="4" fontId="2" fillId="0" borderId="0" pivotButton="0" quotePrefix="0" xfId="0"/>
    <xf numFmtId="4" fontId="6" fillId="0" borderId="0" pivotButton="0" quotePrefix="0" xfId="0"/>
    <xf numFmtId="4" fontId="6" fillId="0" borderId="0" pivotButton="0" quotePrefix="1" xfId="0"/>
    <xf numFmtId="0" fontId="261" fillId="0" borderId="0" pivotButton="0" quotePrefix="0" xfId="3623"/>
    <xf numFmtId="0" fontId="328" fillId="102" borderId="0" pivotButton="0" quotePrefix="0" xfId="3623"/>
    <xf numFmtId="0" fontId="329" fillId="0" borderId="85" pivotButton="0" quotePrefix="0" xfId="3628"/>
    <xf numFmtId="0" fontId="294" fillId="0" borderId="0" pivotButton="0" quotePrefix="0" xfId="0"/>
    <xf numFmtId="0" fontId="250" fillId="0" borderId="0" pivotButton="0" quotePrefix="0" xfId="3623"/>
    <xf numFmtId="0" fontId="294" fillId="0" borderId="0" pivotButton="0" quotePrefix="0" xfId="3623"/>
    <xf numFmtId="0" fontId="263" fillId="102" borderId="0" applyAlignment="1" pivotButton="0" quotePrefix="0" xfId="3623">
      <alignment horizontal="left"/>
    </xf>
    <xf numFmtId="0" fontId="261" fillId="60" borderId="0" applyAlignment="1" pivotButton="0" quotePrefix="0" xfId="3623">
      <alignment horizontal="left" vertical="center" readingOrder="1"/>
    </xf>
    <xf numFmtId="0" fontId="261" fillId="60" borderId="0" applyAlignment="1" pivotButton="0" quotePrefix="0" xfId="3623">
      <alignment horizontal="left" vertical="center" wrapText="1" readingOrder="1"/>
    </xf>
    <xf numFmtId="0" fontId="261" fillId="60" borderId="0" applyAlignment="1" pivotButton="0" quotePrefix="0" xfId="3624">
      <alignment horizontal="right" vertical="center" wrapText="1" readingOrder="1"/>
    </xf>
    <xf numFmtId="0" fontId="261" fillId="60" borderId="89" applyAlignment="1" pivotButton="0" quotePrefix="0" xfId="3623">
      <alignment horizontal="left" vertical="center" readingOrder="1"/>
    </xf>
    <xf numFmtId="0" fontId="261" fillId="60" borderId="89" applyAlignment="1" pivotButton="0" quotePrefix="0" xfId="3623">
      <alignment horizontal="left" vertical="center" wrapText="1" readingOrder="1"/>
    </xf>
    <xf numFmtId="0" fontId="261" fillId="60" borderId="89" applyAlignment="1" pivotButton="0" quotePrefix="0" xfId="3623">
      <alignment horizontal="right" vertical="center" wrapText="1" readingOrder="1"/>
    </xf>
    <xf numFmtId="173" fontId="255" fillId="6" borderId="0" applyAlignment="1" pivotButton="0" quotePrefix="0" xfId="3624">
      <alignment vertical="center"/>
    </xf>
    <xf numFmtId="0" fontId="255" fillId="6" borderId="0" applyAlignment="1" pivotButton="0" quotePrefix="0" xfId="3624">
      <alignment vertical="center"/>
    </xf>
    <xf numFmtId="173" fontId="330" fillId="0" borderId="0" applyAlignment="1" pivotButton="0" quotePrefix="0" xfId="3624">
      <alignment vertical="center"/>
    </xf>
    <xf numFmtId="0" fontId="330" fillId="0" borderId="0" applyAlignment="1" pivotButton="0" quotePrefix="0" xfId="3624">
      <alignment vertical="center"/>
    </xf>
    <xf numFmtId="0" fontId="330" fillId="0" borderId="0" applyAlignment="1" pivotButton="0" quotePrefix="0" xfId="3625">
      <alignment vertical="center"/>
    </xf>
    <xf numFmtId="0" fontId="330" fillId="0" borderId="0" applyAlignment="1" pivotButton="0" quotePrefix="0" xfId="3625">
      <alignment vertical="center"/>
    </xf>
    <xf numFmtId="173" fontId="261" fillId="0" borderId="0" applyAlignment="1" pivotButton="0" quotePrefix="0" xfId="3624">
      <alignment vertical="center"/>
    </xf>
    <xf numFmtId="0" fontId="261" fillId="0" borderId="0" applyAlignment="1" pivotButton="0" quotePrefix="0" xfId="3624">
      <alignment vertical="center"/>
    </xf>
    <xf numFmtId="173" fontId="255" fillId="6" borderId="11" applyAlignment="1" pivotButton="0" quotePrefix="0" xfId="3624">
      <alignment vertical="center"/>
    </xf>
    <xf numFmtId="0" fontId="255" fillId="6" borderId="11" applyAlignment="1" pivotButton="0" quotePrefix="0" xfId="3624">
      <alignment vertical="center"/>
    </xf>
    <xf numFmtId="15" fontId="261" fillId="60" borderId="0" applyAlignment="1" pivotButton="0" quotePrefix="0" xfId="3623">
      <alignment horizontal="right" vertical="center" wrapText="1" readingOrder="1"/>
    </xf>
    <xf numFmtId="15" fontId="261" fillId="0" borderId="0" applyAlignment="1" pivotButton="0" quotePrefix="0" xfId="3623">
      <alignment horizontal="centerContinuous" vertical="center" readingOrder="1"/>
    </xf>
    <xf numFmtId="15" fontId="261" fillId="0" borderId="0" applyAlignment="1" pivotButton="0" quotePrefix="0" xfId="3623">
      <alignment horizontal="centerContinuous" vertical="center" wrapText="1" readingOrder="1"/>
    </xf>
    <xf numFmtId="0" fontId="261" fillId="0" borderId="0" applyAlignment="1" pivotButton="0" quotePrefix="0" xfId="3626">
      <alignment vertical="center"/>
    </xf>
    <xf numFmtId="169" fontId="261" fillId="0" borderId="0" applyAlignment="1" pivotButton="0" quotePrefix="1" xfId="3625">
      <alignment horizontal="center" vertical="center" wrapText="1" readingOrder="1"/>
    </xf>
    <xf numFmtId="172" fontId="261" fillId="0" borderId="0" applyAlignment="1" pivotButton="0" quotePrefix="0" xfId="3630">
      <alignment horizontal="center" vertical="center" wrapText="1" readingOrder="1"/>
    </xf>
    <xf numFmtId="0" fontId="255" fillId="6" borderId="87" applyAlignment="1" pivotButton="0" quotePrefix="0" xfId="3626">
      <alignment vertical="center"/>
    </xf>
    <xf numFmtId="172" fontId="255" fillId="0" borderId="0" applyAlignment="1" pivotButton="0" quotePrefix="0" xfId="3630">
      <alignment horizontal="center" vertical="center" wrapText="1" readingOrder="1"/>
    </xf>
    <xf numFmtId="172" fontId="294" fillId="0" borderId="0" pivotButton="0" quotePrefix="0" xfId="0"/>
    <xf numFmtId="0" fontId="255" fillId="0" borderId="0" applyAlignment="1" pivotButton="0" quotePrefix="0" xfId="3623">
      <alignment horizontal="left" vertical="center" readingOrder="1"/>
    </xf>
    <xf numFmtId="15" fontId="261" fillId="0" borderId="0" applyAlignment="1" pivotButton="0" quotePrefix="0" xfId="3623">
      <alignment horizontal="right" vertical="center" wrapText="1" readingOrder="1"/>
    </xf>
    <xf numFmtId="15" fontId="255" fillId="0" borderId="0" applyAlignment="1" pivotButton="0" quotePrefix="0" xfId="3623">
      <alignment horizontal="centerContinuous" vertical="center" readingOrder="1"/>
    </xf>
    <xf numFmtId="15" fontId="261" fillId="0" borderId="0" applyAlignment="1" pivotButton="0" quotePrefix="0" xfId="3623">
      <alignment horizontal="center" vertical="center" readingOrder="1"/>
    </xf>
    <xf numFmtId="0" fontId="261" fillId="0" borderId="87" pivotButton="0" quotePrefix="0" xfId="0"/>
    <xf numFmtId="0" fontId="255" fillId="103" borderId="87" applyAlignment="1" pivotButton="0" quotePrefix="0" xfId="3623">
      <alignment horizontal="left" vertical="center"/>
    </xf>
    <xf numFmtId="0" fontId="255" fillId="103" borderId="87" applyAlignment="1" pivotButton="0" quotePrefix="0" xfId="3623">
      <alignment horizontal="left"/>
    </xf>
    <xf numFmtId="0" fontId="261" fillId="103" borderId="87" pivotButton="0" quotePrefix="0" xfId="3623"/>
    <xf numFmtId="0" fontId="322" fillId="0" borderId="0" applyAlignment="1" pivotButton="0" quotePrefix="0" xfId="0">
      <alignment vertical="center"/>
    </xf>
    <xf numFmtId="0" fontId="327" fillId="0" borderId="0" applyAlignment="1" pivotButton="0" quotePrefix="0" xfId="0">
      <alignment horizontal="left" vertical="center"/>
    </xf>
    <xf numFmtId="165" fontId="327" fillId="0" borderId="0" applyAlignment="1" pivotButton="0" quotePrefix="0" xfId="0">
      <alignment horizontal="right" vertical="center"/>
    </xf>
    <xf numFmtId="0" fontId="327" fillId="0" borderId="0" applyAlignment="1" pivotButton="0" quotePrefix="0" xfId="0">
      <alignment horizontal="right" vertical="center"/>
    </xf>
    <xf numFmtId="0" fontId="323" fillId="0" borderId="0" applyAlignment="1" pivotButton="0" quotePrefix="0" xfId="0">
      <alignment vertical="center"/>
    </xf>
    <xf numFmtId="164" fontId="323" fillId="0" borderId="0" applyAlignment="1" pivotButton="0" quotePrefix="0" xfId="0">
      <alignment vertical="center"/>
    </xf>
    <xf numFmtId="167" fontId="261" fillId="60" borderId="0" applyAlignment="1" pivotButton="0" quotePrefix="0" xfId="0">
      <alignment horizontal="center"/>
    </xf>
    <xf numFmtId="166" fontId="261" fillId="60" borderId="65" applyAlignment="1" pivotButton="0" quotePrefix="0" xfId="0">
      <alignment horizontal="center"/>
    </xf>
    <xf numFmtId="167" fontId="263" fillId="65" borderId="0" applyAlignment="1" pivotButton="0" quotePrefix="0" xfId="0">
      <alignment horizontal="center"/>
    </xf>
    <xf numFmtId="171" fontId="323" fillId="0" borderId="0" applyAlignment="1" pivotButton="0" quotePrefix="0" xfId="0">
      <alignment horizontal="center" vertical="center"/>
    </xf>
    <xf numFmtId="165" fontId="327" fillId="0" borderId="0" applyAlignment="1" pivotButton="0" quotePrefix="0" xfId="0">
      <alignment horizontal="center" vertical="center"/>
    </xf>
    <xf numFmtId="171" fontId="322" fillId="0" borderId="0" applyAlignment="1" pivotButton="0" quotePrefix="0" xfId="0">
      <alignment horizontal="center" vertical="center"/>
    </xf>
    <xf numFmtId="169" fontId="327" fillId="0" borderId="0" applyAlignment="1" pivotButton="0" quotePrefix="0" xfId="0">
      <alignment horizontal="center" vertical="center"/>
    </xf>
    <xf numFmtId="169" fontId="14" fillId="0" borderId="0" pivotButton="0" quotePrefix="0" xfId="0"/>
    <xf numFmtId="171" fontId="331" fillId="6" borderId="0" applyAlignment="1" pivotButton="0" quotePrefix="0" xfId="3624">
      <alignment vertical="center"/>
    </xf>
    <xf numFmtId="0" fontId="331" fillId="0" borderId="0" applyAlignment="1" pivotButton="0" quotePrefix="0" xfId="3624">
      <alignment vertical="center"/>
    </xf>
    <xf numFmtId="169" fontId="332" fillId="0" borderId="0" applyAlignment="1" pivotButton="0" quotePrefix="0" xfId="3625">
      <alignment vertical="center"/>
    </xf>
    <xf numFmtId="0" fontId="332" fillId="0" borderId="0" applyAlignment="1" pivotButton="0" quotePrefix="0" xfId="3625">
      <alignment vertical="center"/>
    </xf>
    <xf numFmtId="171" fontId="333" fillId="0" borderId="0" applyAlignment="1" pivotButton="0" quotePrefix="0" xfId="3624">
      <alignment vertical="center"/>
    </xf>
    <xf numFmtId="0" fontId="333" fillId="0" borderId="0" applyAlignment="1" pivotButton="0" quotePrefix="0" xfId="3624">
      <alignment vertical="center"/>
    </xf>
    <xf numFmtId="171" fontId="333" fillId="0" borderId="0" applyAlignment="1" pivotButton="0" quotePrefix="0" xfId="3624">
      <alignment vertical="center"/>
    </xf>
    <xf numFmtId="170" fontId="333" fillId="0" borderId="0" applyAlignment="1" pivotButton="0" quotePrefix="0" xfId="3624">
      <alignment vertical="center"/>
    </xf>
    <xf numFmtId="174" fontId="333" fillId="0" borderId="0" applyAlignment="1" pivotButton="0" quotePrefix="0" xfId="3624">
      <alignment vertical="center"/>
    </xf>
    <xf numFmtId="171" fontId="331" fillId="6" borderId="11" applyAlignment="1" pivotButton="0" quotePrefix="0" xfId="3624">
      <alignment vertical="center"/>
    </xf>
    <xf numFmtId="171" fontId="333" fillId="0" borderId="0" applyAlignment="1" pivotButton="0" quotePrefix="0" xfId="3624">
      <alignment horizontal="center" vertical="center"/>
    </xf>
    <xf numFmtId="169" fontId="333" fillId="0" borderId="0" applyAlignment="1" pivotButton="0" quotePrefix="0" xfId="3625">
      <alignment horizontal="center" vertical="center"/>
    </xf>
    <xf numFmtId="171" fontId="331" fillId="6" borderId="87" applyAlignment="1" pivotButton="0" quotePrefix="0" xfId="3624">
      <alignment horizontal="center" vertical="center"/>
    </xf>
    <xf numFmtId="169" fontId="331" fillId="6" borderId="87" applyAlignment="1" pivotButton="0" quotePrefix="0" xfId="3625">
      <alignment horizontal="center" vertical="center"/>
    </xf>
    <xf numFmtId="171" fontId="333" fillId="0" borderId="0" applyAlignment="1" pivotButton="0" quotePrefix="0" xfId="3626">
      <alignment horizontal="center" vertical="center"/>
    </xf>
    <xf numFmtId="0" fontId="333" fillId="0" borderId="0" applyAlignment="1" pivotButton="0" quotePrefix="0" xfId="3623">
      <alignment horizontal="center"/>
    </xf>
    <xf numFmtId="0" fontId="331" fillId="0" borderId="0" applyAlignment="1" pivotButton="0" quotePrefix="0" xfId="3630">
      <alignment horizontal="center" vertical="center"/>
    </xf>
    <xf numFmtId="169" fontId="334" fillId="0" borderId="0" applyAlignment="1" pivotButton="0" quotePrefix="0" xfId="3626">
      <alignment horizontal="center" vertical="center"/>
    </xf>
    <xf numFmtId="0" fontId="333" fillId="0" borderId="0" applyAlignment="1" pivotButton="0" quotePrefix="0" xfId="3626">
      <alignment vertical="center"/>
    </xf>
    <xf numFmtId="0" fontId="331" fillId="6" borderId="87" applyAlignment="1" pivotButton="0" quotePrefix="0" xfId="3626">
      <alignment vertical="center"/>
    </xf>
    <xf numFmtId="0" fontId="333" fillId="0" borderId="0" applyAlignment="1" pivotButton="0" quotePrefix="0" xfId="3626">
      <alignment horizontal="left" vertical="center" indent="1"/>
    </xf>
    <xf numFmtId="0" fontId="333" fillId="60" borderId="0" applyAlignment="1" pivotButton="0" quotePrefix="0" xfId="3623">
      <alignment horizontal="right" vertical="center" wrapText="1" readingOrder="1"/>
    </xf>
    <xf numFmtId="175" fontId="333" fillId="60" borderId="89" applyAlignment="1" pivotButton="0" quotePrefix="1" xfId="3625">
      <alignment horizontal="center" vertical="center" wrapText="1" readingOrder="1"/>
    </xf>
    <xf numFmtId="169" fontId="333" fillId="60" borderId="90" applyAlignment="1" pivotButton="0" quotePrefix="0" xfId="3625">
      <alignment vertical="center" wrapText="1" readingOrder="1"/>
    </xf>
    <xf numFmtId="0" fontId="333" fillId="0" borderId="0" applyAlignment="1" pivotButton="0" quotePrefix="0" xfId="0">
      <alignment horizontal="center" vertical="center"/>
    </xf>
    <xf numFmtId="171" fontId="333" fillId="0" borderId="0" applyAlignment="1" pivotButton="0" quotePrefix="0" xfId="3630">
      <alignment horizontal="center" vertical="center"/>
    </xf>
    <xf numFmtId="171" fontId="333" fillId="6" borderId="0" applyAlignment="1" pivotButton="0" quotePrefix="0" xfId="3630">
      <alignment horizontal="center" vertical="center"/>
    </xf>
    <xf numFmtId="171" fontId="331" fillId="6" borderId="0" applyAlignment="1" pivotButton="0" quotePrefix="0" xfId="3630">
      <alignment horizontal="center" vertical="center"/>
    </xf>
    <xf numFmtId="169" fontId="333" fillId="60" borderId="92" applyAlignment="1" pivotButton="0" quotePrefix="0" xfId="3625">
      <alignment vertical="center" wrapText="1" readingOrder="1"/>
    </xf>
    <xf numFmtId="171" fontId="333" fillId="0" borderId="11" applyAlignment="1" pivotButton="0" quotePrefix="0" xfId="3630">
      <alignment horizontal="center" vertical="center"/>
    </xf>
    <xf numFmtId="164" fontId="17" fillId="7" borderId="0" applyAlignment="1" pivotButton="0" quotePrefix="0" xfId="0">
      <alignment horizontal="left"/>
    </xf>
    <xf numFmtId="0" fontId="263" fillId="64" borderId="0" pivotButton="0" quotePrefix="0" xfId="0"/>
    <xf numFmtId="164" fontId="261" fillId="0" borderId="69" pivotButton="0" quotePrefix="0" xfId="0"/>
    <xf numFmtId="164" fontId="0" fillId="0" borderId="69" pivotButton="0" quotePrefix="0" xfId="0"/>
    <xf numFmtId="168" fontId="299" fillId="0" borderId="69" pivotButton="0" quotePrefix="0" xfId="2309"/>
    <xf numFmtId="164" fontId="261" fillId="0" borderId="11" pivotButton="0" quotePrefix="0" xfId="0"/>
    <xf numFmtId="167" fontId="261" fillId="60" borderId="91" applyAlignment="1" pivotButton="0" quotePrefix="0" xfId="0">
      <alignment horizontal="right"/>
    </xf>
    <xf numFmtId="0" fontId="0" fillId="0" borderId="70" pivotButton="0" quotePrefix="0" xfId="0"/>
    <xf numFmtId="0" fontId="0" fillId="0" borderId="71" pivotButton="0" quotePrefix="0" xfId="0"/>
    <xf numFmtId="0" fontId="0" fillId="0" borderId="68" pivotButton="0" quotePrefix="0" xfId="0"/>
    <xf numFmtId="169" fontId="251" fillId="0" borderId="0" pivotButton="0" quotePrefix="0" xfId="0"/>
    <xf numFmtId="169" fontId="251" fillId="0" borderId="69" pivotButton="0" quotePrefix="0" xfId="0"/>
    <xf numFmtId="37" fontId="261" fillId="0" borderId="83" applyAlignment="1" pivotButton="0" quotePrefix="0" xfId="0">
      <alignment horizontal="center"/>
    </xf>
    <xf numFmtId="37" fontId="261" fillId="0" borderId="82" applyAlignment="1" pivotButton="0" quotePrefix="0" xfId="0">
      <alignment horizontal="center"/>
    </xf>
    <xf numFmtId="37" fontId="261" fillId="0" borderId="0" applyAlignment="1" pivotButton="0" quotePrefix="0" xfId="0">
      <alignment horizontal="center"/>
    </xf>
    <xf numFmtId="37" fontId="261" fillId="0" borderId="84" applyAlignment="1" pivotButton="0" quotePrefix="0" xfId="0">
      <alignment horizontal="center"/>
    </xf>
    <xf numFmtId="37" fontId="261" fillId="0" borderId="13" applyAlignment="1" pivotButton="0" quotePrefix="0" xfId="0">
      <alignment horizontal="center"/>
    </xf>
    <xf numFmtId="37" fontId="261" fillId="97" borderId="0" applyAlignment="1" pivotButton="0" quotePrefix="0" xfId="0">
      <alignment horizontal="center"/>
    </xf>
    <xf numFmtId="37" fontId="261" fillId="0" borderId="69" applyAlignment="1" pivotButton="0" quotePrefix="0" xfId="0">
      <alignment horizontal="center"/>
    </xf>
    <xf numFmtId="37" fontId="261" fillId="0" borderId="10" applyAlignment="1" pivotButton="0" quotePrefix="0" xfId="0">
      <alignment horizontal="center"/>
    </xf>
    <xf numFmtId="37" fontId="261" fillId="0" borderId="11" applyAlignment="1" pivotButton="0" quotePrefix="0" xfId="0">
      <alignment horizontal="center"/>
    </xf>
    <xf numFmtId="37" fontId="261" fillId="0" borderId="68" applyAlignment="1" pivotButton="0" quotePrefix="0" xfId="0">
      <alignment horizontal="center"/>
    </xf>
    <xf numFmtId="171" fontId="0" fillId="0" borderId="7" applyAlignment="1" pivotButton="0" quotePrefix="0" xfId="0">
      <alignment horizontal="center"/>
    </xf>
    <xf numFmtId="171" fontId="0" fillId="0" borderId="8" applyAlignment="1" pivotButton="0" quotePrefix="0" xfId="0">
      <alignment horizontal="center"/>
    </xf>
    <xf numFmtId="171" fontId="0" fillId="0" borderId="0" applyAlignment="1" pivotButton="0" quotePrefix="0" xfId="0">
      <alignment horizontal="center"/>
    </xf>
    <xf numFmtId="171" fontId="0" fillId="0" borderId="9" applyAlignment="1" pivotButton="0" quotePrefix="0" xfId="0">
      <alignment horizontal="center"/>
    </xf>
    <xf numFmtId="171" fontId="0" fillId="0" borderId="13" applyAlignment="1" pivotButton="0" quotePrefix="0" xfId="0">
      <alignment horizontal="center"/>
    </xf>
    <xf numFmtId="171" fontId="0" fillId="8" borderId="0" applyAlignment="1" pivotButton="0" quotePrefix="0" xfId="0">
      <alignment horizontal="center"/>
    </xf>
    <xf numFmtId="171" fontId="0" fillId="0" borderId="14" applyAlignment="1" pivotButton="0" quotePrefix="0" xfId="0">
      <alignment horizontal="center"/>
    </xf>
    <xf numFmtId="171" fontId="0" fillId="0" borderId="10" applyAlignment="1" pivotButton="0" quotePrefix="0" xfId="0">
      <alignment horizontal="center"/>
    </xf>
    <xf numFmtId="171" fontId="0" fillId="0" borderId="11" applyAlignment="1" pivotButton="0" quotePrefix="0" xfId="0">
      <alignment horizontal="center"/>
    </xf>
    <xf numFmtId="171" fontId="0" fillId="0" borderId="12" applyAlignment="1" pivotButton="0" quotePrefix="0" xfId="0">
      <alignment horizontal="center"/>
    </xf>
    <xf numFmtId="10" fontId="0" fillId="8" borderId="0" applyAlignment="1" pivotButton="0" quotePrefix="0" xfId="0">
      <alignment horizontal="center"/>
    </xf>
    <xf numFmtId="10" fontId="297" fillId="0" borderId="72" applyAlignment="1" pivotButton="0" quotePrefix="0" xfId="0">
      <alignment horizontal="center"/>
    </xf>
    <xf numFmtId="10" fontId="0" fillId="8" borderId="14" applyAlignment="1" pivotButton="0" quotePrefix="0" xfId="0">
      <alignment horizontal="center"/>
    </xf>
    <xf numFmtId="172" fontId="0" fillId="8" borderId="0" applyAlignment="1" pivotButton="0" quotePrefix="0" xfId="0">
      <alignment horizontal="center"/>
    </xf>
    <xf numFmtId="172" fontId="297" fillId="0" borderId="63" applyAlignment="1" pivotButton="0" quotePrefix="0" xfId="0">
      <alignment horizontal="center"/>
    </xf>
    <xf numFmtId="172" fontId="0" fillId="8" borderId="14" applyAlignment="1" pivotButton="0" quotePrefix="0" xfId="0">
      <alignment horizontal="center"/>
    </xf>
    <xf numFmtId="37" fontId="0" fillId="0" borderId="7" applyAlignment="1" pivotButton="0" quotePrefix="0" xfId="0">
      <alignment horizontal="center"/>
    </xf>
    <xf numFmtId="37" fontId="0" fillId="0" borderId="8" applyAlignment="1" pivotButton="0" quotePrefix="0" xfId="0">
      <alignment horizontal="center"/>
    </xf>
    <xf numFmtId="37" fontId="0" fillId="0" borderId="9" applyAlignment="1" pivotButton="0" quotePrefix="0" xfId="0">
      <alignment horizontal="center"/>
    </xf>
    <xf numFmtId="37" fontId="0" fillId="0" borderId="13" applyAlignment="1" pivotButton="0" quotePrefix="0" xfId="0">
      <alignment horizontal="center"/>
    </xf>
    <xf numFmtId="37" fontId="0" fillId="8" borderId="0" applyAlignment="1" pivotButton="0" quotePrefix="0" xfId="0">
      <alignment horizontal="center"/>
    </xf>
    <xf numFmtId="37" fontId="0" fillId="0" borderId="0" applyAlignment="1" pivotButton="0" quotePrefix="0" xfId="0">
      <alignment horizontal="center"/>
    </xf>
    <xf numFmtId="37" fontId="0" fillId="0" borderId="14" applyAlignment="1" pivotButton="0" quotePrefix="0" xfId="0">
      <alignment horizontal="center"/>
    </xf>
    <xf numFmtId="37" fontId="0" fillId="0" borderId="10" applyAlignment="1" pivotButton="0" quotePrefix="0" xfId="0">
      <alignment horizontal="center"/>
    </xf>
    <xf numFmtId="37" fontId="0" fillId="0" borderId="11" applyAlignment="1" pivotButton="0" quotePrefix="0" xfId="0">
      <alignment horizontal="center"/>
    </xf>
    <xf numFmtId="37" fontId="0" fillId="0" borderId="12" applyAlignment="1" pivotButton="0" quotePrefix="0" xfId="0">
      <alignment horizontal="center"/>
    </xf>
    <xf numFmtId="0" fontId="261" fillId="60" borderId="89" applyAlignment="1" pivotButton="0" quotePrefix="0" xfId="3623">
      <alignment horizontal="center" vertical="center" wrapText="1" readingOrder="1"/>
    </xf>
    <xf numFmtId="166" fontId="333" fillId="60" borderId="65" applyAlignment="1" pivotButton="0" quotePrefix="0" xfId="0">
      <alignment horizontal="right"/>
    </xf>
    <xf numFmtId="0" fontId="335" fillId="0" borderId="0" pivotButton="0" quotePrefix="0" xfId="0"/>
    <xf numFmtId="0" fontId="336" fillId="0" borderId="0" applyAlignment="1" pivotButton="0" quotePrefix="0" xfId="0">
      <alignment horizontal="center"/>
    </xf>
    <xf numFmtId="0" fontId="337" fillId="0" borderId="0" applyAlignment="1" pivotButton="0" quotePrefix="0" xfId="0">
      <alignment horizontal="center"/>
    </xf>
    <xf numFmtId="168" fontId="338" fillId="0" borderId="0" applyAlignment="1" pivotButton="0" quotePrefix="0" xfId="2309">
      <alignment horizontal="center"/>
    </xf>
    <xf numFmtId="0" fontId="339" fillId="0" borderId="0" applyAlignment="1" pivotButton="0" quotePrefix="0" xfId="0">
      <alignment horizontal="left" indent="1"/>
    </xf>
    <xf numFmtId="0" fontId="336" fillId="0" borderId="0" pivotButton="0" quotePrefix="0" xfId="0"/>
    <xf numFmtId="0" fontId="0" fillId="0" borderId="0" applyAlignment="1" pivotButton="0" quotePrefix="0" xfId="0">
      <alignment horizontal="left" indent="1"/>
    </xf>
    <xf numFmtId="0" fontId="339" fillId="0" borderId="0" pivotButton="0" quotePrefix="0" xfId="0"/>
    <xf numFmtId="164" fontId="263" fillId="64" borderId="0" applyAlignment="1" pivotButton="0" quotePrefix="0" xfId="0">
      <alignment horizontal="centerContinuous"/>
    </xf>
    <xf numFmtId="164" fontId="263" fillId="98" borderId="0" applyAlignment="1" pivotButton="0" quotePrefix="0" xfId="0">
      <alignment horizontal="centerContinuous"/>
    </xf>
    <xf numFmtId="0" fontId="0" fillId="0" borderId="0" applyAlignment="1" pivotButton="0" quotePrefix="0" xfId="0">
      <alignment horizontal="left"/>
    </xf>
    <xf numFmtId="171" fontId="337" fillId="0" borderId="0" applyAlignment="1" pivotButton="0" quotePrefix="0" xfId="0">
      <alignment horizontal="center"/>
    </xf>
    <xf numFmtId="171" fontId="340" fillId="0" borderId="82" applyAlignment="1" pivotButton="0" quotePrefix="0" xfId="0">
      <alignment horizontal="center"/>
    </xf>
    <xf numFmtId="172" fontId="340" fillId="0" borderId="82" applyAlignment="1" pivotButton="0" quotePrefix="0" xfId="0">
      <alignment horizontal="center"/>
    </xf>
    <xf numFmtId="0" fontId="322" fillId="0" borderId="0" applyAlignment="1" pivotButton="0" quotePrefix="0" xfId="0">
      <alignment horizontal="left" vertical="center"/>
    </xf>
    <xf numFmtId="171" fontId="261" fillId="0" borderId="0" pivotButton="0" quotePrefix="0" xfId="1686"/>
    <xf numFmtId="37" fontId="261" fillId="0" borderId="0" pivotButton="0" quotePrefix="0" xfId="0"/>
    <xf numFmtId="37" fontId="21" fillId="0" borderId="2" pivotButton="0" quotePrefix="0" xfId="0"/>
    <xf numFmtId="169" fontId="251" fillId="0" borderId="11" pivotButton="0" quotePrefix="0" xfId="2309"/>
    <xf numFmtId="169" fontId="327" fillId="0" borderId="11" applyAlignment="1" pivotButton="0" quotePrefix="0" xfId="0">
      <alignment horizontal="center" vertical="center"/>
    </xf>
    <xf numFmtId="164" fontId="341" fillId="80" borderId="1" applyAlignment="1" pivotButton="0" quotePrefix="0" xfId="0">
      <alignment horizontal="right"/>
    </xf>
    <xf numFmtId="0" fontId="327" fillId="0" borderId="11" applyAlignment="1" pivotButton="0" quotePrefix="0" xfId="0">
      <alignment horizontal="left" vertical="center"/>
    </xf>
    <xf numFmtId="0" fontId="322" fillId="0" borderId="11" applyAlignment="1" pivotButton="0" quotePrefix="0" xfId="0">
      <alignment vertical="center"/>
    </xf>
    <xf numFmtId="165" fontId="327" fillId="0" borderId="11" applyAlignment="1" pivotButton="0" quotePrefix="0" xfId="0">
      <alignment horizontal="right" vertical="center"/>
    </xf>
    <xf numFmtId="165" fontId="327" fillId="0" borderId="11" applyAlignment="1" pivotButton="0" quotePrefix="0" xfId="0">
      <alignment horizontal="center" vertical="center"/>
    </xf>
    <xf numFmtId="10" fontId="0" fillId="0" borderId="0" pivotButton="0" quotePrefix="0" xfId="0"/>
    <xf numFmtId="0" fontId="0" fillId="80" borderId="0" pivotButton="0" quotePrefix="0" xfId="0"/>
    <xf numFmtId="176" fontId="16" fillId="80" borderId="1" applyAlignment="1" pivotButton="0" quotePrefix="0" xfId="2">
      <alignment horizontal="right"/>
    </xf>
    <xf numFmtId="17" fontId="20" fillId="0" borderId="0" applyAlignment="1" pivotButton="0" quotePrefix="0" xfId="0">
      <alignment horizontal="left"/>
    </xf>
    <xf numFmtId="169" fontId="9" fillId="0" borderId="0" pivotButton="0" quotePrefix="0" xfId="2311"/>
    <xf numFmtId="169" fontId="298" fillId="0" borderId="0" pivotButton="0" quotePrefix="0" xfId="2311"/>
    <xf numFmtId="39" fontId="14" fillId="0" borderId="0" pivotButton="0" quotePrefix="0" xfId="0"/>
    <xf numFmtId="169" fontId="9" fillId="104" borderId="1" pivotButton="0" quotePrefix="0" xfId="2311"/>
    <xf numFmtId="0" fontId="14" fillId="104" borderId="0" pivotButton="0" quotePrefix="0" xfId="0"/>
    <xf numFmtId="164" fontId="261" fillId="104" borderId="2" pivotButton="0" quotePrefix="0" xfId="0"/>
    <xf numFmtId="168" fontId="16" fillId="104" borderId="73" pivotButton="0" quotePrefix="0" xfId="0"/>
    <xf numFmtId="172" fontId="16" fillId="104" borderId="73" applyAlignment="1" pivotButton="0" quotePrefix="0" xfId="2">
      <alignment horizontal="right"/>
    </xf>
    <xf numFmtId="0" fontId="0" fillId="104" borderId="0" pivotButton="0" quotePrefix="0" xfId="0"/>
    <xf numFmtId="164" fontId="297" fillId="104" borderId="0" pivotButton="0" quotePrefix="0" xfId="0"/>
    <xf numFmtId="164" fontId="297" fillId="104" borderId="69" pivotButton="0" quotePrefix="0" xfId="0"/>
    <xf numFmtId="168" fontId="299" fillId="104" borderId="0" pivotButton="0" quotePrefix="0" xfId="2309"/>
    <xf numFmtId="165" fontId="16" fillId="104" borderId="1" pivotButton="0" quotePrefix="0" xfId="0"/>
    <xf numFmtId="165" fontId="8" fillId="104" borderId="1" pivotButton="0" quotePrefix="0" xfId="0"/>
    <xf numFmtId="10" fontId="8" fillId="104" borderId="1" pivotButton="0" quotePrefix="0" xfId="0"/>
    <xf numFmtId="172" fontId="16" fillId="104" borderId="1" pivotButton="0" quotePrefix="0" xfId="0"/>
    <xf numFmtId="164" fontId="297" fillId="104" borderId="2" pivotButton="0" quotePrefix="0" xfId="0"/>
    <xf numFmtId="169" fontId="9" fillId="104" borderId="0" applyAlignment="1" pivotButton="0" quotePrefix="0" xfId="0">
      <alignment horizontal="right"/>
    </xf>
    <xf numFmtId="165" fontId="251" fillId="105" borderId="0" pivotButton="0" quotePrefix="0" xfId="0"/>
    <xf numFmtId="0" fontId="251" fillId="106" borderId="0" pivotButton="0" quotePrefix="0" xfId="0"/>
    <xf numFmtId="169" fontId="251" fillId="106" borderId="0" pivotButton="0" quotePrefix="0" xfId="0"/>
    <xf numFmtId="169" fontId="251" fillId="106" borderId="69" pivotButton="0" quotePrefix="0" xfId="0"/>
    <xf numFmtId="165" fontId="251" fillId="106" borderId="0" pivotButton="0" quotePrefix="0" xfId="0"/>
    <xf numFmtId="0" fontId="0" fillId="106" borderId="0" pivotButton="0" quotePrefix="0" xfId="0"/>
    <xf numFmtId="165" fontId="251" fillId="106" borderId="69" pivotButton="0" quotePrefix="0" xfId="0"/>
    <xf numFmtId="165" fontId="251" fillId="105" borderId="69" pivotButton="0" quotePrefix="0" xfId="0"/>
    <xf numFmtId="164" fontId="0" fillId="105" borderId="0" pivotButton="0" quotePrefix="0" xfId="0"/>
    <xf numFmtId="177" fontId="6" fillId="0" borderId="0" applyAlignment="1" pivotButton="0" quotePrefix="0" xfId="3809">
      <alignment horizontal="left"/>
    </xf>
    <xf numFmtId="0" fontId="9" fillId="0" borderId="0" pivotButton="0" quotePrefix="0" xfId="0"/>
    <xf numFmtId="165" fontId="9" fillId="0" borderId="0" pivotButton="0" quotePrefix="0" xfId="0"/>
    <xf numFmtId="164" fontId="261" fillId="105" borderId="0" pivotButton="0" quotePrefix="0" xfId="0"/>
    <xf numFmtId="164" fontId="0" fillId="105" borderId="2" pivotButton="0" quotePrefix="0" xfId="0"/>
    <xf numFmtId="0" fontId="0" fillId="105" borderId="0" pivotButton="0" quotePrefix="0" xfId="0"/>
    <xf numFmtId="165" fontId="251" fillId="106" borderId="0" applyAlignment="1" pivotButton="0" quotePrefix="0" xfId="0">
      <alignment horizontal="right"/>
    </xf>
    <xf numFmtId="4" fontId="264" fillId="7" borderId="16" applyAlignment="1" pivotButton="0" quotePrefix="0" xfId="0">
      <alignment horizontal="left" vertical="center"/>
    </xf>
    <xf numFmtId="4" fontId="18" fillId="7" borderId="0" applyAlignment="1" pivotButton="0" quotePrefix="0" xfId="0">
      <alignment horizontal="left" vertical="center"/>
    </xf>
    <xf numFmtId="4" fontId="18" fillId="7" borderId="16" applyAlignment="1" pivotButton="0" quotePrefix="0" xfId="0">
      <alignment horizontal="left" vertical="center"/>
    </xf>
    <xf numFmtId="0" fontId="26" fillId="0" borderId="22" applyAlignment="1" pivotButton="0" quotePrefix="0" xfId="0">
      <alignment horizontal="center" textRotation="90"/>
    </xf>
    <xf numFmtId="0" fontId="0" fillId="10" borderId="11" applyAlignment="1" pivotButton="0" quotePrefix="0" xfId="0">
      <alignment horizontal="center"/>
    </xf>
    <xf numFmtId="0" fontId="261" fillId="60" borderId="0" applyAlignment="1" pivotButton="0" quotePrefix="0" xfId="3623">
      <alignment horizontal="left" vertical="center" readingOrder="1"/>
    </xf>
    <xf numFmtId="0" fontId="261" fillId="60" borderId="89" applyAlignment="1" pivotButton="0" quotePrefix="0" xfId="3623">
      <alignment horizontal="left" vertical="center" readingOrder="1"/>
    </xf>
    <xf numFmtId="0" fontId="262" fillId="60" borderId="0" applyAlignment="1" pivotButton="0" quotePrefix="0" xfId="3623">
      <alignment horizontal="center" vertical="center" textRotation="90" wrapText="1" readingOrder="1"/>
    </xf>
    <xf numFmtId="0" fontId="262" fillId="60" borderId="11" applyAlignment="1" pivotButton="0" quotePrefix="0" xfId="3623">
      <alignment horizontal="center" vertical="center" textRotation="90" wrapText="1" readingOrder="1"/>
    </xf>
    <xf numFmtId="15" fontId="262" fillId="60" borderId="0" applyAlignment="1" pivotButton="0" quotePrefix="0" xfId="3623">
      <alignment horizontal="center" vertical="center" wrapText="1" readingOrder="1"/>
    </xf>
    <xf numFmtId="0" fontId="0" fillId="0" borderId="16" pivotButton="0" quotePrefix="0" xfId="0"/>
    <xf numFmtId="0" fontId="0" fillId="0" borderId="22" pivotButton="0" quotePrefix="0" xfId="0"/>
    <xf numFmtId="164" fontId="320" fillId="0" borderId="0" pivotButton="0" quotePrefix="0" xfId="0"/>
    <xf numFmtId="164" fontId="1" fillId="0" borderId="0" pivotButton="0" quotePrefix="0" xfId="0"/>
    <xf numFmtId="164" fontId="263" fillId="62" borderId="0" pivotButton="0" quotePrefix="0" xfId="0"/>
    <xf numFmtId="164" fontId="14" fillId="0" borderId="0" pivotButton="0" quotePrefix="0" xfId="0"/>
    <xf numFmtId="164" fontId="0" fillId="0" borderId="0" pivotButton="0" quotePrefix="0" xfId="0"/>
    <xf numFmtId="176" fontId="16" fillId="80" borderId="1" applyAlignment="1" pivotButton="0" quotePrefix="0" xfId="2">
      <alignment horizontal="right"/>
    </xf>
    <xf numFmtId="164" fontId="25" fillId="0" borderId="0" pivotButton="0" quotePrefix="0" xfId="0"/>
    <xf numFmtId="164" fontId="261" fillId="0" borderId="0" pivotButton="0" quotePrefix="0" xfId="0"/>
    <xf numFmtId="164" fontId="261" fillId="0" borderId="0" applyAlignment="1" pivotButton="0" quotePrefix="0" xfId="0">
      <alignment horizontal="right"/>
    </xf>
    <xf numFmtId="164" fontId="341" fillId="80" borderId="1" applyAlignment="1" pivotButton="0" quotePrefix="0" xfId="0">
      <alignment horizontal="right"/>
    </xf>
    <xf numFmtId="164" fontId="8" fillId="80" borderId="6" applyAlignment="1" pivotButton="0" quotePrefix="0" xfId="0">
      <alignment horizontal="right"/>
    </xf>
    <xf numFmtId="164" fontId="258" fillId="0" borderId="0" pivotButton="0" quotePrefix="0" xfId="0"/>
    <xf numFmtId="164" fontId="14" fillId="0" borderId="0" applyAlignment="1" pivotButton="0" quotePrefix="0" xfId="0">
      <alignment horizontal="right"/>
    </xf>
    <xf numFmtId="164" fontId="263" fillId="61" borderId="0" applyAlignment="1" pivotButton="0" quotePrefix="0" xfId="0">
      <alignment horizontal="left"/>
    </xf>
    <xf numFmtId="164" fontId="263" fillId="61" borderId="0" applyAlignment="1" pivotButton="0" quotePrefix="0" xfId="0">
      <alignment horizontal="right"/>
    </xf>
    <xf numFmtId="172" fontId="0" fillId="0" borderId="0" pivotButton="0" quotePrefix="0" xfId="0"/>
    <xf numFmtId="171" fontId="337" fillId="0" borderId="0" applyAlignment="1" pivotButton="0" quotePrefix="0" xfId="0">
      <alignment horizontal="center"/>
    </xf>
    <xf numFmtId="168" fontId="338" fillId="0" borderId="0" applyAlignment="1" pivotButton="0" quotePrefix="0" xfId="2309">
      <alignment horizontal="center"/>
    </xf>
    <xf numFmtId="171" fontId="340" fillId="0" borderId="82" applyAlignment="1" pivotButton="0" quotePrefix="0" xfId="0">
      <alignment horizontal="center"/>
    </xf>
    <xf numFmtId="171" fontId="0" fillId="0" borderId="0" pivotButton="0" quotePrefix="0" xfId="0"/>
    <xf numFmtId="172" fontId="340" fillId="0" borderId="82" applyAlignment="1" pivotButton="0" quotePrefix="0" xfId="0">
      <alignment horizontal="center"/>
    </xf>
    <xf numFmtId="164" fontId="14" fillId="0" borderId="0" applyAlignment="1" pivotButton="0" quotePrefix="0" xfId="0">
      <alignment horizontal="left"/>
    </xf>
    <xf numFmtId="164" fontId="8" fillId="0" borderId="0" applyAlignment="1" pivotButton="0" quotePrefix="0" xfId="0">
      <alignment horizontal="left"/>
    </xf>
    <xf numFmtId="164" fontId="8" fillId="0" borderId="0" pivotButton="0" quotePrefix="0" xfId="0"/>
    <xf numFmtId="165" fontId="14" fillId="0" borderId="0" pivotButton="0" quotePrefix="0" xfId="0"/>
    <xf numFmtId="164" fontId="22" fillId="7" borderId="4" applyAlignment="1" pivotButton="0" quotePrefix="0" xfId="0">
      <alignment horizontal="left"/>
    </xf>
    <xf numFmtId="164" fontId="17" fillId="7" borderId="2" applyAlignment="1" pivotButton="0" quotePrefix="0" xfId="0">
      <alignment horizontal="left"/>
    </xf>
    <xf numFmtId="164" fontId="8" fillId="7" borderId="2" pivotButton="0" quotePrefix="0" xfId="0"/>
    <xf numFmtId="164" fontId="14" fillId="7" borderId="2" pivotButton="0" quotePrefix="0" xfId="0"/>
    <xf numFmtId="165" fontId="14" fillId="7" borderId="2" pivotButton="0" quotePrefix="0" xfId="0"/>
    <xf numFmtId="164" fontId="14" fillId="7" borderId="5" pivotButton="0" quotePrefix="0" xfId="0"/>
    <xf numFmtId="164" fontId="263" fillId="64" borderId="0" applyAlignment="1" pivotButton="0" quotePrefix="0" xfId="0">
      <alignment horizontal="centerContinuous"/>
    </xf>
    <xf numFmtId="164" fontId="263" fillId="98" borderId="0" applyAlignment="1" pivotButton="0" quotePrefix="0" xfId="0">
      <alignment horizontal="centerContinuous"/>
    </xf>
    <xf numFmtId="169" fontId="14" fillId="0" borderId="0" pivotButton="0" quotePrefix="0" xfId="0"/>
    <xf numFmtId="167" fontId="261" fillId="60" borderId="65" applyAlignment="1" pivotButton="0" quotePrefix="0" xfId="0">
      <alignment horizontal="right"/>
    </xf>
    <xf numFmtId="167" fontId="16" fillId="60" borderId="65" applyAlignment="1" pivotButton="0" quotePrefix="0" xfId="0">
      <alignment horizontal="right"/>
    </xf>
    <xf numFmtId="166" fontId="261" fillId="60" borderId="65" applyAlignment="1" pivotButton="0" quotePrefix="0" xfId="0">
      <alignment horizontal="right"/>
    </xf>
    <xf numFmtId="164" fontId="6" fillId="0" borderId="2" pivotButton="0" quotePrefix="0" xfId="0"/>
    <xf numFmtId="164" fontId="16" fillId="0" borderId="2" pivotButton="0" quotePrefix="0" xfId="0"/>
    <xf numFmtId="164" fontId="261" fillId="0" borderId="2" pivotButton="0" quotePrefix="0" xfId="0"/>
    <xf numFmtId="164" fontId="6" fillId="0" borderId="0" pivotButton="0" quotePrefix="0" xfId="0"/>
    <xf numFmtId="164" fontId="16" fillId="0" borderId="0" pivotButton="0" quotePrefix="0" xfId="0"/>
    <xf numFmtId="164" fontId="297" fillId="104" borderId="0" pivotButton="0" quotePrefix="0" xfId="0"/>
    <xf numFmtId="164" fontId="9" fillId="0" borderId="0" pivotButton="0" quotePrefix="0" xfId="0"/>
    <xf numFmtId="165" fontId="9" fillId="0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69" fontId="298" fillId="3" borderId="1" pivotButton="0" quotePrefix="0" xfId="2311"/>
    <xf numFmtId="169" fontId="9" fillId="104" borderId="1" pivotButton="0" quotePrefix="0" xfId="2311"/>
    <xf numFmtId="169" fontId="262" fillId="3" borderId="1" pivotButton="0" quotePrefix="0" xfId="2311"/>
    <xf numFmtId="169" fontId="298" fillId="3" borderId="74" pivotButton="0" quotePrefix="0" xfId="2311"/>
    <xf numFmtId="164" fontId="297" fillId="104" borderId="2" pivotButton="0" quotePrefix="0" xfId="0"/>
    <xf numFmtId="169" fontId="9" fillId="104" borderId="0" applyAlignment="1" pivotButton="0" quotePrefix="0" xfId="0">
      <alignment horizontal="right"/>
    </xf>
    <xf numFmtId="165" fontId="262" fillId="0" borderId="0" applyAlignment="1" pivotButton="0" quotePrefix="0" xfId="0">
      <alignment horizontal="right"/>
    </xf>
    <xf numFmtId="169" fontId="298" fillId="0" borderId="0" pivotButton="0" quotePrefix="0" xfId="2311"/>
    <xf numFmtId="169" fontId="9" fillId="0" borderId="0" pivotButton="0" quotePrefix="0" xfId="2311"/>
    <xf numFmtId="164" fontId="297" fillId="0" borderId="2" pivotButton="0" quotePrefix="0" xfId="0"/>
    <xf numFmtId="164" fontId="2" fillId="7" borderId="2" pivotButton="0" quotePrefix="0" xfId="0"/>
    <xf numFmtId="164" fontId="261" fillId="104" borderId="2" pivotButton="0" quotePrefix="0" xfId="0"/>
    <xf numFmtId="164" fontId="263" fillId="7" borderId="8" applyAlignment="1" pivotButton="0" quotePrefix="0" xfId="0">
      <alignment horizontal="left"/>
    </xf>
    <xf numFmtId="164" fontId="17" fillId="7" borderId="8" applyAlignment="1" pivotButton="0" quotePrefix="0" xfId="0">
      <alignment horizontal="left"/>
    </xf>
    <xf numFmtId="164" fontId="22" fillId="7" borderId="8" applyAlignment="1" pivotButton="0" quotePrefix="0" xfId="0">
      <alignment horizontal="left"/>
    </xf>
    <xf numFmtId="167" fontId="261" fillId="60" borderId="0" applyAlignment="1" pivotButton="0" quotePrefix="0" xfId="0">
      <alignment horizontal="right"/>
    </xf>
    <xf numFmtId="167" fontId="261" fillId="60" borderId="0" applyAlignment="1" pivotButton="0" quotePrefix="0" xfId="0">
      <alignment horizontal="center"/>
    </xf>
    <xf numFmtId="166" fontId="261" fillId="60" borderId="65" applyAlignment="1" pivotButton="0" quotePrefix="0" xfId="0">
      <alignment horizontal="center"/>
    </xf>
    <xf numFmtId="167" fontId="263" fillId="65" borderId="0" applyAlignment="1" pivotButton="0" quotePrefix="0" xfId="0">
      <alignment horizontal="right"/>
    </xf>
    <xf numFmtId="167" fontId="263" fillId="65" borderId="0" applyAlignment="1" pivotButton="0" quotePrefix="0" xfId="0">
      <alignment horizontal="center"/>
    </xf>
    <xf numFmtId="171" fontId="323" fillId="0" borderId="0" applyAlignment="1" pivotButton="0" quotePrefix="0" xfId="0">
      <alignment horizontal="center" vertical="center"/>
    </xf>
    <xf numFmtId="165" fontId="327" fillId="0" borderId="0" applyAlignment="1" pivotButton="0" quotePrefix="0" xfId="0">
      <alignment horizontal="right" vertical="center"/>
    </xf>
    <xf numFmtId="165" fontId="327" fillId="0" borderId="0" applyAlignment="1" pivotButton="0" quotePrefix="0" xfId="0">
      <alignment horizontal="center" vertical="center"/>
    </xf>
    <xf numFmtId="169" fontId="327" fillId="0" borderId="0" applyAlignment="1" pivotButton="0" quotePrefix="0" xfId="0">
      <alignment horizontal="center" vertical="center"/>
    </xf>
    <xf numFmtId="171" fontId="322" fillId="0" borderId="0" applyAlignment="1" pivotButton="0" quotePrefix="0" xfId="0">
      <alignment horizontal="center" vertical="center"/>
    </xf>
    <xf numFmtId="169" fontId="327" fillId="0" borderId="11" applyAlignment="1" pivotButton="0" quotePrefix="0" xfId="0">
      <alignment horizontal="center" vertical="center"/>
    </xf>
    <xf numFmtId="164" fontId="323" fillId="0" borderId="0" applyAlignment="1" pivotButton="0" quotePrefix="0" xfId="0">
      <alignment vertical="center"/>
    </xf>
    <xf numFmtId="165" fontId="327" fillId="0" borderId="11" applyAlignment="1" pivotButton="0" quotePrefix="0" xfId="0">
      <alignment horizontal="right" vertical="center"/>
    </xf>
    <xf numFmtId="165" fontId="327" fillId="0" borderId="11" applyAlignment="1" pivotButton="0" quotePrefix="0" xfId="0">
      <alignment horizontal="center" vertical="center"/>
    </xf>
    <xf numFmtId="168" fontId="16" fillId="104" borderId="73" pivotButton="0" quotePrefix="0" xfId="0"/>
    <xf numFmtId="172" fontId="16" fillId="104" borderId="73" applyAlignment="1" pivotButton="0" quotePrefix="0" xfId="2">
      <alignment horizontal="right"/>
    </xf>
    <xf numFmtId="165" fontId="0" fillId="0" borderId="0" pivotButton="0" quotePrefix="0" xfId="0"/>
    <xf numFmtId="171" fontId="6" fillId="0" borderId="0" pivotButton="0" quotePrefix="0" xfId="1686"/>
    <xf numFmtId="171" fontId="261" fillId="0" borderId="0" pivotButton="0" quotePrefix="0" xfId="1686"/>
    <xf numFmtId="167" fontId="261" fillId="60" borderId="91" applyAlignment="1" pivotButton="0" quotePrefix="0" xfId="0">
      <alignment horizontal="right"/>
    </xf>
    <xf numFmtId="166" fontId="14" fillId="0" borderId="0" applyAlignment="1" pivotButton="0" quotePrefix="0" xfId="0">
      <alignment horizontal="right"/>
    </xf>
    <xf numFmtId="164" fontId="297" fillId="104" borderId="69" pivotButton="0" quotePrefix="0" xfId="0"/>
    <xf numFmtId="164" fontId="297" fillId="0" borderId="0" pivotButton="0" quotePrefix="0" xfId="0"/>
    <xf numFmtId="169" fontId="251" fillId="106" borderId="0" pivotButton="0" quotePrefix="0" xfId="0"/>
    <xf numFmtId="169" fontId="251" fillId="106" borderId="69" pivotButton="0" quotePrefix="0" xfId="0"/>
    <xf numFmtId="165" fontId="251" fillId="106" borderId="0" pivotButton="0" quotePrefix="0" xfId="0"/>
    <xf numFmtId="165" fontId="251" fillId="0" borderId="0" pivotButton="0" quotePrefix="0" xfId="0"/>
    <xf numFmtId="165" fontId="251" fillId="106" borderId="69" pivotButton="0" quotePrefix="0" xfId="0"/>
    <xf numFmtId="165" fontId="251" fillId="105" borderId="0" pivotButton="0" quotePrefix="0" xfId="0"/>
    <xf numFmtId="165" fontId="251" fillId="105" borderId="69" pivotButton="0" quotePrefix="0" xfId="0"/>
    <xf numFmtId="164" fontId="261" fillId="0" borderId="69" pivotButton="0" quotePrefix="0" xfId="0"/>
    <xf numFmtId="164" fontId="0" fillId="0" borderId="69" pivotButton="0" quotePrefix="0" xfId="0"/>
    <xf numFmtId="164" fontId="0" fillId="105" borderId="0" pivotButton="0" quotePrefix="0" xfId="0"/>
    <xf numFmtId="168" fontId="299" fillId="0" borderId="0" pivotButton="0" quotePrefix="0" xfId="2309"/>
    <xf numFmtId="168" fontId="299" fillId="0" borderId="69" pivotButton="0" quotePrefix="0" xfId="2309"/>
    <xf numFmtId="168" fontId="299" fillId="104" borderId="0" pivotButton="0" quotePrefix="0" xfId="2309"/>
    <xf numFmtId="164" fontId="261" fillId="105" borderId="0" pivotButton="0" quotePrefix="0" xfId="0"/>
    <xf numFmtId="165" fontId="251" fillId="0" borderId="69" pivotButton="0" quotePrefix="0" xfId="0"/>
    <xf numFmtId="169" fontId="251" fillId="0" borderId="0" pivotButton="0" quotePrefix="0" xfId="0"/>
    <xf numFmtId="169" fontId="251" fillId="0" borderId="69" pivotButton="0" quotePrefix="0" xfId="0"/>
    <xf numFmtId="165" fontId="251" fillId="106" borderId="0" applyAlignment="1" pivotButton="0" quotePrefix="0" xfId="0">
      <alignment horizontal="right"/>
    </xf>
    <xf numFmtId="177" fontId="6" fillId="0" borderId="0" applyAlignment="1" pivotButton="0" quotePrefix="0" xfId="3809">
      <alignment horizontal="left"/>
    </xf>
    <xf numFmtId="169" fontId="0" fillId="0" borderId="0" pivotButton="0" quotePrefix="0" xfId="0"/>
    <xf numFmtId="165" fontId="9" fillId="0" borderId="0" pivotButton="0" quotePrefix="0" xfId="0"/>
    <xf numFmtId="164" fontId="0" fillId="0" borderId="2" pivotButton="0" quotePrefix="0" xfId="0"/>
    <xf numFmtId="164" fontId="0" fillId="0" borderId="70" pivotButton="0" quotePrefix="0" xfId="0"/>
    <xf numFmtId="164" fontId="0" fillId="105" borderId="2" pivotButton="0" quotePrefix="0" xfId="0"/>
    <xf numFmtId="164" fontId="261" fillId="0" borderId="11" pivotButton="0" quotePrefix="0" xfId="0"/>
    <xf numFmtId="164" fontId="0" fillId="0" borderId="11" pivotButton="0" quotePrefix="0" xfId="0"/>
    <xf numFmtId="171" fontId="261" fillId="0" borderId="8" pivotButton="0" quotePrefix="0" xfId="0"/>
    <xf numFmtId="171" fontId="0" fillId="0" borderId="8" pivotButton="0" quotePrefix="0" xfId="0"/>
    <xf numFmtId="170" fontId="261" fillId="0" borderId="11" pivotButton="0" quotePrefix="0" xfId="0"/>
    <xf numFmtId="170" fontId="0" fillId="0" borderId="11" pivotButton="0" quotePrefix="0" xfId="0"/>
    <xf numFmtId="164" fontId="261" fillId="60" borderId="0" pivotButton="0" quotePrefix="0" xfId="0"/>
    <xf numFmtId="164" fontId="261" fillId="60" borderId="65" pivotButton="0" quotePrefix="0" xfId="0"/>
    <xf numFmtId="165" fontId="21" fillId="0" borderId="2" pivotButton="0" quotePrefix="0" xfId="0"/>
    <xf numFmtId="164" fontId="21" fillId="0" borderId="2" pivotButton="0" quotePrefix="0" xfId="0"/>
    <xf numFmtId="165" fontId="21" fillId="0" borderId="0" pivotButton="0" quotePrefix="0" xfId="0"/>
    <xf numFmtId="165" fontId="21" fillId="0" borderId="8" pivotButton="0" quotePrefix="0" xfId="0"/>
    <xf numFmtId="164" fontId="0" fillId="0" borderId="8" pivotButton="0" quotePrefix="0" xfId="0"/>
    <xf numFmtId="169" fontId="251" fillId="0" borderId="11" pivotButton="0" quotePrefix="0" xfId="2309"/>
    <xf numFmtId="165" fontId="21" fillId="0" borderId="11" pivotButton="0" quotePrefix="0" xfId="0"/>
    <xf numFmtId="168" fontId="251" fillId="0" borderId="11" pivotButton="0" quotePrefix="0" xfId="2309"/>
    <xf numFmtId="165" fontId="16" fillId="104" borderId="1" pivotButton="0" quotePrefix="0" xfId="0"/>
    <xf numFmtId="172" fontId="16" fillId="104" borderId="1" pivotButton="0" quotePrefix="0" xfId="0"/>
    <xf numFmtId="165" fontId="8" fillId="104" borderId="1" pivotButton="0" quotePrefix="0" xfId="0"/>
    <xf numFmtId="165" fontId="16" fillId="0" borderId="1" pivotButton="0" quotePrefix="0" xfId="0"/>
    <xf numFmtId="169" fontId="16" fillId="0" borderId="6" pivotButton="0" quotePrefix="0" xfId="0"/>
    <xf numFmtId="172" fontId="0" fillId="8" borderId="0" applyAlignment="1" pivotButton="0" quotePrefix="0" xfId="0">
      <alignment horizontal="center"/>
    </xf>
    <xf numFmtId="172" fontId="297" fillId="0" borderId="63" applyAlignment="1" pivotButton="0" quotePrefix="0" xfId="0">
      <alignment horizontal="center"/>
    </xf>
    <xf numFmtId="172" fontId="0" fillId="8" borderId="14" applyAlignment="1" pivotButton="0" quotePrefix="0" xfId="0">
      <alignment horizontal="center"/>
    </xf>
    <xf numFmtId="165" fontId="0" fillId="8" borderId="13" pivotButton="0" quotePrefix="0" xfId="0"/>
    <xf numFmtId="165" fontId="297" fillId="0" borderId="62" pivotButton="0" quotePrefix="0" xfId="0"/>
    <xf numFmtId="168" fontId="0" fillId="8" borderId="13" pivotButton="0" quotePrefix="0" xfId="0"/>
    <xf numFmtId="168" fontId="0" fillId="8" borderId="10" pivotButton="0" quotePrefix="0" xfId="0"/>
    <xf numFmtId="164" fontId="252" fillId="8" borderId="13" pivotButton="0" quotePrefix="0" xfId="0"/>
    <xf numFmtId="172" fontId="0" fillId="8" borderId="0" pivotButton="0" quotePrefix="0" xfId="0"/>
    <xf numFmtId="172" fontId="297" fillId="0" borderId="72" pivotButton="0" quotePrefix="0" xfId="0"/>
    <xf numFmtId="172" fontId="0" fillId="8" borderId="14" pivotButton="0" quotePrefix="0" xfId="0"/>
    <xf numFmtId="171" fontId="0" fillId="0" borderId="7" applyAlignment="1" pivotButton="0" quotePrefix="0" xfId="0">
      <alignment horizontal="center"/>
    </xf>
    <xf numFmtId="171" fontId="0" fillId="0" borderId="8" applyAlignment="1" pivotButton="0" quotePrefix="0" xfId="0">
      <alignment horizontal="center"/>
    </xf>
    <xf numFmtId="171" fontId="0" fillId="0" borderId="0" applyAlignment="1" pivotButton="0" quotePrefix="0" xfId="0">
      <alignment horizontal="center"/>
    </xf>
    <xf numFmtId="171" fontId="0" fillId="0" borderId="9" applyAlignment="1" pivotButton="0" quotePrefix="0" xfId="0">
      <alignment horizontal="center"/>
    </xf>
    <xf numFmtId="171" fontId="0" fillId="0" borderId="13" applyAlignment="1" pivotButton="0" quotePrefix="0" xfId="0">
      <alignment horizontal="center"/>
    </xf>
    <xf numFmtId="171" fontId="0" fillId="8" borderId="0" applyAlignment="1" pivotButton="0" quotePrefix="0" xfId="0">
      <alignment horizontal="center"/>
    </xf>
    <xf numFmtId="171" fontId="0" fillId="0" borderId="14" applyAlignment="1" pivotButton="0" quotePrefix="0" xfId="0">
      <alignment horizontal="center"/>
    </xf>
    <xf numFmtId="171" fontId="0" fillId="0" borderId="10" applyAlignment="1" pivotButton="0" quotePrefix="0" xfId="0">
      <alignment horizontal="center"/>
    </xf>
    <xf numFmtId="171" fontId="0" fillId="0" borderId="11" applyAlignment="1" pivotButton="0" quotePrefix="0" xfId="0">
      <alignment horizontal="center"/>
    </xf>
    <xf numFmtId="171" fontId="0" fillId="0" borderId="12" applyAlignment="1" pivotButton="0" quotePrefix="0" xfId="0">
      <alignment horizontal="center"/>
    </xf>
    <xf numFmtId="164" fontId="17" fillId="7" borderId="0" applyAlignment="1" pivotButton="0" quotePrefix="0" xfId="0">
      <alignment horizontal="left"/>
    </xf>
    <xf numFmtId="167" fontId="261" fillId="60" borderId="0" pivotButton="0" quotePrefix="0" xfId="0"/>
    <xf numFmtId="166" fontId="261" fillId="60" borderId="0" applyAlignment="1" pivotButton="0" quotePrefix="0" xfId="0">
      <alignment horizontal="right"/>
    </xf>
    <xf numFmtId="170" fontId="261" fillId="0" borderId="0" pivotButton="0" quotePrefix="0" xfId="0"/>
    <xf numFmtId="169" fontId="262" fillId="0" borderId="0" applyAlignment="1" pivotButton="0" quotePrefix="0" xfId="0">
      <alignment horizontal="right"/>
    </xf>
    <xf numFmtId="170" fontId="261" fillId="0" borderId="0" applyAlignment="1" pivotButton="0" quotePrefix="0" xfId="0">
      <alignment horizontal="right"/>
    </xf>
    <xf numFmtId="166" fontId="333" fillId="60" borderId="65" applyAlignment="1" pivotButton="0" quotePrefix="0" xfId="0">
      <alignment horizontal="right"/>
    </xf>
    <xf numFmtId="173" fontId="255" fillId="6" borderId="0" applyAlignment="1" pivotButton="0" quotePrefix="0" xfId="3624">
      <alignment vertical="center"/>
    </xf>
    <xf numFmtId="171" fontId="331" fillId="6" borderId="0" applyAlignment="1" pivotButton="0" quotePrefix="0" xfId="3624">
      <alignment vertical="center"/>
    </xf>
    <xf numFmtId="173" fontId="330" fillId="0" borderId="0" applyAlignment="1" pivotButton="0" quotePrefix="0" xfId="3624">
      <alignment vertical="center"/>
    </xf>
    <xf numFmtId="169" fontId="332" fillId="0" borderId="0" applyAlignment="1" pivotButton="0" quotePrefix="0" xfId="3625">
      <alignment vertical="center"/>
    </xf>
    <xf numFmtId="173" fontId="261" fillId="0" borderId="0" applyAlignment="1" pivotButton="0" quotePrefix="0" xfId="3624">
      <alignment vertical="center"/>
    </xf>
    <xf numFmtId="171" fontId="333" fillId="0" borderId="0" applyAlignment="1" pivotButton="0" quotePrefix="0" xfId="3624">
      <alignment vertical="center"/>
    </xf>
    <xf numFmtId="170" fontId="333" fillId="0" borderId="0" applyAlignment="1" pivotButton="0" quotePrefix="0" xfId="3624">
      <alignment vertical="center"/>
    </xf>
    <xf numFmtId="174" fontId="333" fillId="0" borderId="0" applyAlignment="1" pivotButton="0" quotePrefix="0" xfId="3624">
      <alignment vertical="center"/>
    </xf>
    <xf numFmtId="173" fontId="255" fillId="6" borderId="11" applyAlignment="1" pivotButton="0" quotePrefix="0" xfId="3624">
      <alignment vertical="center"/>
    </xf>
    <xf numFmtId="171" fontId="331" fillId="6" borderId="11" applyAlignment="1" pivotButton="0" quotePrefix="0" xfId="3624">
      <alignment vertical="center"/>
    </xf>
    <xf numFmtId="0" fontId="0" fillId="0" borderId="89" pivotButton="0" quotePrefix="0" xfId="0"/>
    <xf numFmtId="171" fontId="333" fillId="0" borderId="0" applyAlignment="1" pivotButton="0" quotePrefix="0" xfId="3624">
      <alignment horizontal="center" vertical="center"/>
    </xf>
    <xf numFmtId="169" fontId="333" fillId="0" borderId="0" applyAlignment="1" pivotButton="0" quotePrefix="0" xfId="3625">
      <alignment horizontal="center" vertical="center"/>
    </xf>
    <xf numFmtId="175" fontId="333" fillId="60" borderId="89" applyAlignment="1" pivotButton="0" quotePrefix="1" xfId="3625">
      <alignment horizontal="center" vertical="center" wrapText="1" readingOrder="1"/>
    </xf>
    <xf numFmtId="169" fontId="261" fillId="0" borderId="0" applyAlignment="1" pivotButton="0" quotePrefix="1" xfId="3625">
      <alignment horizontal="center" vertical="center" wrapText="1" readingOrder="1"/>
    </xf>
    <xf numFmtId="169" fontId="333" fillId="60" borderId="90" applyAlignment="1" pivotButton="0" quotePrefix="0" xfId="3625">
      <alignment vertical="center" wrapText="1" readingOrder="1"/>
    </xf>
    <xf numFmtId="171" fontId="333" fillId="0" borderId="0" applyAlignment="1" pivotButton="0" quotePrefix="0" xfId="3630">
      <alignment horizontal="center" vertical="center"/>
    </xf>
    <xf numFmtId="172" fontId="261" fillId="0" borderId="0" applyAlignment="1" pivotButton="0" quotePrefix="0" xfId="3630">
      <alignment horizontal="center" vertical="center" wrapText="1" readingOrder="1"/>
    </xf>
    <xf numFmtId="171" fontId="331" fillId="6" borderId="87" applyAlignment="1" pivotButton="0" quotePrefix="0" xfId="3624">
      <alignment horizontal="center" vertical="center"/>
    </xf>
    <xf numFmtId="169" fontId="331" fillId="6" borderId="87" applyAlignment="1" pivotButton="0" quotePrefix="0" xfId="3625">
      <alignment horizontal="center" vertical="center"/>
    </xf>
    <xf numFmtId="171" fontId="333" fillId="6" borderId="0" applyAlignment="1" pivotButton="0" quotePrefix="0" xfId="3630">
      <alignment horizontal="center" vertical="center"/>
    </xf>
    <xf numFmtId="171" fontId="333" fillId="0" borderId="0" applyAlignment="1" pivotButton="0" quotePrefix="0" xfId="3626">
      <alignment horizontal="center" vertical="center"/>
    </xf>
    <xf numFmtId="171" fontId="331" fillId="6" borderId="0" applyAlignment="1" pivotButton="0" quotePrefix="0" xfId="3630">
      <alignment horizontal="center" vertical="center"/>
    </xf>
    <xf numFmtId="172" fontId="255" fillId="0" borderId="0" applyAlignment="1" pivotButton="0" quotePrefix="0" xfId="3630">
      <alignment horizontal="center" vertical="center" wrapText="1" readingOrder="1"/>
    </xf>
    <xf numFmtId="169" fontId="333" fillId="60" borderId="92" applyAlignment="1" pivotButton="0" quotePrefix="0" xfId="3625">
      <alignment vertical="center" wrapText="1" readingOrder="1"/>
    </xf>
    <xf numFmtId="171" fontId="333" fillId="0" borderId="11" applyAlignment="1" pivotButton="0" quotePrefix="0" xfId="3630">
      <alignment horizontal="center" vertical="center"/>
    </xf>
    <xf numFmtId="169" fontId="334" fillId="0" borderId="0" applyAlignment="1" pivotButton="0" quotePrefix="0" xfId="3626">
      <alignment horizontal="center" vertical="center"/>
    </xf>
    <xf numFmtId="172" fontId="294" fillId="0" borderId="0" pivotButton="0" quotePrefix="0" xfId="0"/>
  </cellXfs>
  <cellStyles count="3810">
    <cellStyle name="Normal" xfId="0" builtinId="0"/>
    <cellStyle name="Hyperlink" xfId="1" builtinId="8"/>
    <cellStyle name="Normal_Southern Cross LBO v9" xfId="2"/>
    <cellStyle name="Normal 2" xfId="3"/>
    <cellStyle name="Comma 2" xfId="4"/>
    <cellStyle name="Percent 2" xfId="5"/>
    <cellStyle name="a" xfId="6"/>
    <cellStyle name="Normal 3" xfId="7"/>
    <cellStyle name="b_Project Lucy model v40 160305" xfId="8"/>
    <cellStyle name="-" xfId="9"/>
    <cellStyle name="#" xfId="10"/>
    <cellStyle name="#_Feeder" xfId="11"/>
    <cellStyle name="#_Gerresheimer_Bank_model_021205_final" xfId="12"/>
    <cellStyle name="#_M&amp;A Model" xfId="13"/>
    <cellStyle name="#_M&amp;A projections" xfId="14"/>
    <cellStyle name="$" xfId="15"/>
    <cellStyle name="$ Currency" xfId="16"/>
    <cellStyle name="$0" xfId="17"/>
    <cellStyle name="$1" xfId="18"/>
    <cellStyle name="$2" xfId="19"/>
    <cellStyle name="$m" xfId="20"/>
    <cellStyle name="%" xfId="21"/>
    <cellStyle name="% [2]" xfId="22"/>
    <cellStyle name="%.00" xfId="23"/>
    <cellStyle name="%_Blank LBO Model v15" xfId="24"/>
    <cellStyle name="%_Feeder" xfId="25"/>
    <cellStyle name="%_George - LBO Model 3.1" xfId="26"/>
    <cellStyle name="%_M&amp;A Model" xfId="27"/>
    <cellStyle name="%_M&amp;A projections" xfId="28"/>
    <cellStyle name="%0" xfId="29"/>
    <cellStyle name="%1" xfId="30"/>
    <cellStyle name="%2" xfId="31"/>
    <cellStyle name="******************************************" xfId="32"/>
    <cellStyle name="*TD" xfId="33"/>
    <cellStyle name="." xfId="34"/>
    <cellStyle name=".1" xfId="35"/>
    <cellStyle name=";;;" xfId="36"/>
    <cellStyle name="?? [0]_??" xfId="37"/>
    <cellStyle name="??_?.????" xfId="38"/>
    <cellStyle name="\" xfId="39"/>
    <cellStyle name="\_bluebirdacdil13" xfId="40"/>
    <cellStyle name="\_ecomps7w" xfId="41"/>
    <cellStyle name="\_equitycomps9" xfId="42"/>
    <cellStyle name="\_houston Isabel" xfId="43"/>
    <cellStyle name="\_hybrid2" xfId="44"/>
    <cellStyle name="\_ITXCcomps" xfId="45"/>
    <cellStyle name="\_newcomps16" xfId="46"/>
    <cellStyle name="\_ravenpitch3" xfId="47"/>
    <cellStyle name="_%(SignOnly)" xfId="48"/>
    <cellStyle name="_%(SignOnly)_EXPN" xfId="49"/>
    <cellStyle name="_%(SignSpaceOnly)" xfId="50"/>
    <cellStyle name="_%(SignSpaceOnly)_EXPN" xfId="51"/>
    <cellStyle name="_57 Project Fly (2)" xfId="52"/>
    <cellStyle name="_Blank LBO Model v15" xfId="53"/>
    <cellStyle name="_Book2" xfId="54"/>
    <cellStyle name="_Book3" xfId="55"/>
    <cellStyle name="_BTI Financial forecasts" xfId="56"/>
    <cellStyle name="_Cairo LBO model - Sept 06" xfId="57"/>
    <cellStyle name="_Column1" xfId="58"/>
    <cellStyle name="_Column1_Balance Sheet_restl. Eurowährungsl._Gruppe" xfId="59"/>
    <cellStyle name="_Column1_Bank case Viking (sent to JPM 10 Nov 05)" xfId="60"/>
    <cellStyle name="_Column1_Banks (2)" xfId="61"/>
    <cellStyle name="_Column1_EBITDA-Recon P&amp;L OPSP04-08_GX" xfId="62"/>
    <cellStyle name="_Column1_Feeder" xfId="63"/>
    <cellStyle name="_Column1_Financial ratios_Euroland" xfId="64"/>
    <cellStyle name="_Column1_GX evaluation without pensions" xfId="65"/>
    <cellStyle name="_Column1_GX OPSP0509 incl. Zurückdrehen Subsidies NVM" xfId="66"/>
    <cellStyle name="_Column1_GX Plan" xfId="67"/>
    <cellStyle name="_Column1_Headcount" xfId="68"/>
    <cellStyle name="_Column1_Headcount_Monthly report" xfId="69"/>
    <cellStyle name="_Column1_LTMJUN02" xfId="70"/>
    <cellStyle name="_Column1_M&amp;A Model" xfId="71"/>
    <cellStyle name="_Column1_M&amp;A projections" xfId="72"/>
    <cellStyle name="_Column1_MIS Reporting_Budget_JD" xfId="73"/>
    <cellStyle name="_Column1_New Gerresheimer bank plan (sent to JPM 26 Nov 05)" xfId="74"/>
    <cellStyle name="_Column1_P&amp;L bank model - received from Gerresheimer 1 12 05" xfId="75"/>
    <cellStyle name="_Column1_Plan model" xfId="76"/>
    <cellStyle name="_Column1_Quarterly" xfId="77"/>
    <cellStyle name="_Column1_Tabelle1" xfId="78"/>
    <cellStyle name="_Column1_TSG2" xfId="79"/>
    <cellStyle name="_Column1_Update 2004 Figures v2 (sent to banks)" xfId="80"/>
    <cellStyle name="_Column1_WC benchmark Calc" xfId="81"/>
    <cellStyle name="_Column1_Zins und Bankschuldenberechnung_03_07" xfId="82"/>
    <cellStyle name="_Column2" xfId="83"/>
    <cellStyle name="_Column2_051003 Viking Business plan" xfId="84"/>
    <cellStyle name="_Column2_051004 Viking Business plan10" xfId="85"/>
    <cellStyle name="_Column2_Bank case Viking (sent to JPM 10 Nov 05)" xfId="86"/>
    <cellStyle name="_Column2_Cost Price Assumptions OPSP0509 vs OPSP0610" xfId="87"/>
    <cellStyle name="_Column2_Feeder" xfId="88"/>
    <cellStyle name="_Column2_FY 2005-2009 OP-SP Update (11-Oct-04)" xfId="89"/>
    <cellStyle name="_Column2_Key assumptions GX companies" xfId="90"/>
    <cellStyle name="_Column2_M&amp;A Model" xfId="91"/>
    <cellStyle name="_Column2_M&amp;A projections" xfId="92"/>
    <cellStyle name="_Column2_Mappe2" xfId="93"/>
    <cellStyle name="_Column2_MIS Reporting_Budget_OPSP 06-10" xfId="94"/>
    <cellStyle name="_Column2_TSG2" xfId="95"/>
    <cellStyle name="_Column3" xfId="96"/>
    <cellStyle name="_Column3_051003 Viking Business plan" xfId="97"/>
    <cellStyle name="_Column3_051004 Viking Business plan10" xfId="98"/>
    <cellStyle name="_Column3_Bank case Viking (sent to JPM 10 Nov 05)" xfId="99"/>
    <cellStyle name="_Column3_Cost Price Assumptions OPSP0509 vs OPSP0610" xfId="100"/>
    <cellStyle name="_Column3_Feeder" xfId="101"/>
    <cellStyle name="_Column3_FY 2005-2009 OP-SP Update (11-Oct-04)" xfId="102"/>
    <cellStyle name="_Column3_Key assumptions GX companies" xfId="103"/>
    <cellStyle name="_Column3_M&amp;A Model" xfId="104"/>
    <cellStyle name="_Column3_M&amp;A projections" xfId="105"/>
    <cellStyle name="_Column3_Mappe2" xfId="106"/>
    <cellStyle name="_Column3_MIS Reporting_Budget_OPSP 06-10" xfId="107"/>
    <cellStyle name="_Column3_TSG2" xfId="108"/>
    <cellStyle name="_Column4" xfId="109"/>
    <cellStyle name="_Column4_051003 Viking Business plan" xfId="110"/>
    <cellStyle name="_Column4_051004 Viking Business plan10" xfId="111"/>
    <cellStyle name="_Column4_Balance Sheet_restl. Eurowährungsl._Gruppe" xfId="112"/>
    <cellStyle name="_Column4_Bank case Viking (sent to JPM 10 Nov 05)" xfId="113"/>
    <cellStyle name="_Column4_Cost Price Assumptions OPSP0509 vs OPSP0610" xfId="114"/>
    <cellStyle name="_Column4_Feeder" xfId="115"/>
    <cellStyle name="_Column4_FY 2005-2009 OP-SP Update (11-Oct-04)" xfId="116"/>
    <cellStyle name="_Column4_Key assumptions GX companies" xfId="117"/>
    <cellStyle name="_Column4_Konsolidierungsbeträge" xfId="118"/>
    <cellStyle name="_Column4_M&amp;A Model" xfId="119"/>
    <cellStyle name="_Column4_M&amp;A projections" xfId="120"/>
    <cellStyle name="_Column4_Mappe2" xfId="121"/>
    <cellStyle name="_Column4_MIS Reporting_Budget_OPSP 06-10" xfId="122"/>
    <cellStyle name="_Column4_TSG2" xfId="123"/>
    <cellStyle name="_Column5" xfId="124"/>
    <cellStyle name="_Column5_051003 Viking Business plan" xfId="125"/>
    <cellStyle name="_Column5_051004 Viking Business plan10" xfId="126"/>
    <cellStyle name="_Column5_Bank case Viking (sent to JPM 10 Nov 05)" xfId="127"/>
    <cellStyle name="_Column5_Cost Price Assumptions OPSP0509 vs OPSP0610" xfId="128"/>
    <cellStyle name="_Column5_Feeder" xfId="129"/>
    <cellStyle name="_Column5_FY 2005-2009 OP-SP Update (11-Oct-04)" xfId="130"/>
    <cellStyle name="_Column5_Key assumptions GX companies" xfId="131"/>
    <cellStyle name="_Column5_Konsolidierungsbeträge" xfId="132"/>
    <cellStyle name="_Column5_M&amp;A Model" xfId="133"/>
    <cellStyle name="_Column5_M&amp;A projections" xfId="134"/>
    <cellStyle name="_Column5_Mappe2" xfId="135"/>
    <cellStyle name="_Column5_MIS Reporting_Budget_OPSP 06-10" xfId="136"/>
    <cellStyle name="_Column5_TSG2" xfId="137"/>
    <cellStyle name="_Column6" xfId="138"/>
    <cellStyle name="_Column6_051003 Viking Business plan" xfId="139"/>
    <cellStyle name="_Column6_051004 Viking Business plan10" xfId="140"/>
    <cellStyle name="_Column6_Bank case Viking (sent to JPM 10 Nov 05)" xfId="141"/>
    <cellStyle name="_Column6_Cost Price Assumptions OPSP0509 vs OPSP0610" xfId="142"/>
    <cellStyle name="_Column6_Feeder" xfId="143"/>
    <cellStyle name="_Column6_FY 2005-2009 OP-SP Update (11-Oct-04)" xfId="144"/>
    <cellStyle name="_Column6_Key assumptions GX companies" xfId="145"/>
    <cellStyle name="_Column6_M&amp;A Model" xfId="146"/>
    <cellStyle name="_Column6_M&amp;A projections" xfId="147"/>
    <cellStyle name="_Column6_Mappe2" xfId="148"/>
    <cellStyle name="_Column6_MIS Reporting_Budget_OPSP 06-10" xfId="149"/>
    <cellStyle name="_Column6_TSG2" xfId="150"/>
    <cellStyle name="_Column7" xfId="151"/>
    <cellStyle name="_Column7_051003 Viking Business plan" xfId="152"/>
    <cellStyle name="_Column7_051004 Viking Business plan10" xfId="153"/>
    <cellStyle name="_Column7_Balance Sheet_restl. Eurowährungsl._Gruppe" xfId="154"/>
    <cellStyle name="_Column7_Bank case Viking (sent to JPM 10 Nov 05)" xfId="155"/>
    <cellStyle name="_Column7_Cost Price Assumptions OPSP0509 vs OPSP0610" xfId="156"/>
    <cellStyle name="_Column7_Feeder" xfId="157"/>
    <cellStyle name="_Column7_FY 2005-2009 OP-SP Update (11-Oct-04)" xfId="158"/>
    <cellStyle name="_Column7_Key assumptions GX companies" xfId="159"/>
    <cellStyle name="_Column7_M&amp;A Model" xfId="160"/>
    <cellStyle name="_Column7_M&amp;A projections" xfId="161"/>
    <cellStyle name="_Column7_Mappe2" xfId="162"/>
    <cellStyle name="_Column7_MIS Reporting_Budget_OPSP 06-10" xfId="163"/>
    <cellStyle name="_Column7_TSG2" xfId="164"/>
    <cellStyle name="_Column8" xfId="165"/>
    <cellStyle name="_Column8_021202External Sales 2000_2001_DA_feste Werte" xfId="166"/>
    <cellStyle name="_Column8_Balance Sheet_restl. Eurowährungsl._Gruppe" xfId="167"/>
    <cellStyle name="_Column8_Konsolidierungsbeträge" xfId="168"/>
    <cellStyle name="_Comma" xfId="169"/>
    <cellStyle name="_Comma_Betas" xfId="170"/>
    <cellStyle name="_Comma_Betas as of 18-Apr-20022" xfId="171"/>
    <cellStyle name="_Comma_EXPN" xfId="172"/>
    <cellStyle name="_Comma_MD 1 model_blank_Augustin" xfId="173"/>
    <cellStyle name="_Crown Holdings  - LBO Model 1.8 covenants_3 Aug" xfId="174"/>
    <cellStyle name="_Currency" xfId="175"/>
    <cellStyle name="_Currency_Betas" xfId="176"/>
    <cellStyle name="_Currency_Betas as of 18-Apr-20022" xfId="177"/>
    <cellStyle name="_Currency_EXPN" xfId="178"/>
    <cellStyle name="_Currency_MD 1 model_blank_Augustin" xfId="179"/>
    <cellStyle name="_Currency_temp templates2" xfId="180"/>
    <cellStyle name="_Currency_wacc bb final" xfId="181"/>
    <cellStyle name="_CurrencySpace" xfId="182"/>
    <cellStyle name="_CurrencySpace_Betas" xfId="183"/>
    <cellStyle name="_CurrencySpace_Betas as of 18-Apr-20022" xfId="184"/>
    <cellStyle name="_CurrencySpace_EXPN" xfId="185"/>
    <cellStyle name="_CurrencySpace_MD 1 model_blank_Augustin" xfId="186"/>
    <cellStyle name="_Data" xfId="187"/>
    <cellStyle name="_Data_Aurora LBO v25" xfId="188"/>
    <cellStyle name="_Data_Balance Sheet_restl. Eurowährungsl._Gruppe" xfId="189"/>
    <cellStyle name="_Data_Bank case Viking (sent to JPM 10 Nov 05)" xfId="190"/>
    <cellStyle name="_Data_Banks (2)" xfId="191"/>
    <cellStyle name="_Data_EBITDA-Recon P&amp;L OPSP04-08_GX" xfId="192"/>
    <cellStyle name="_Data_Feeder" xfId="193"/>
    <cellStyle name="_Data_Financial ratios_Euroland" xfId="194"/>
    <cellStyle name="_Data_GX evaluation without pensions" xfId="195"/>
    <cellStyle name="_Data_GX OPSP0509 incl. Zurückdrehen Subsidies NVM" xfId="196"/>
    <cellStyle name="_Data_GX Plan" xfId="197"/>
    <cellStyle name="_Data_Headcount" xfId="198"/>
    <cellStyle name="_Data_Headcount_Monthly report" xfId="199"/>
    <cellStyle name="_Data_LTMJUN02" xfId="200"/>
    <cellStyle name="_Data_M&amp;A Model" xfId="201"/>
    <cellStyle name="_Data_M&amp;A projections" xfId="202"/>
    <cellStyle name="_Data_MIS Reporting_Budget_JD" xfId="203"/>
    <cellStyle name="_Data_New Gerresheimer bank plan (sent to JPM 26 Nov 05)" xfId="204"/>
    <cellStyle name="_Data_P&amp;L bank model - received from Gerresheimer 1 12 05" xfId="205"/>
    <cellStyle name="_Data_Plan model" xfId="206"/>
    <cellStyle name="_Data_Quarterly" xfId="207"/>
    <cellStyle name="_Data_Tabelle1" xfId="208"/>
    <cellStyle name="_Data_TSG2" xfId="209"/>
    <cellStyle name="_Data_Update 2004 Figures v2 (sent to banks)" xfId="210"/>
    <cellStyle name="_Data_WC benchmark Calc" xfId="211"/>
    <cellStyle name="_Data_Zins und Bankschuldenberechnung_03_07" xfId="212"/>
    <cellStyle name="_Euro" xfId="213"/>
    <cellStyle name="_Euro_EXPN" xfId="214"/>
    <cellStyle name="_EXPN" xfId="215"/>
    <cellStyle name="_Fosters_fins" xfId="216"/>
    <cellStyle name="_George - LBO Model 3.1" xfId="217"/>
    <cellStyle name="_gerresheimer_currentv5" xfId="218"/>
    <cellStyle name="_Header" xfId="219"/>
    <cellStyle name="_Header_021202External Sales 2000_2001_DA_feste Werte" xfId="220"/>
    <cellStyle name="_Header_Balance Sheet_restl. Eurowährungsl._Gruppe" xfId="221"/>
    <cellStyle name="_Header_Bank case Viking (sent to JPM 10 Nov 05)" xfId="222"/>
    <cellStyle name="_Header_Banks (2)" xfId="223"/>
    <cellStyle name="_Header_EBITDA-Recon P&amp;L OPSP04-08_GX" xfId="224"/>
    <cellStyle name="_Header_Feeder" xfId="225"/>
    <cellStyle name="_Header_Financial ratios_Euroland" xfId="226"/>
    <cellStyle name="_Header_GX OPSP0509 incl. Zurückdrehen Subsidies NVM" xfId="227"/>
    <cellStyle name="_Header_GX Plan" xfId="228"/>
    <cellStyle name="_Header_Headcount" xfId="229"/>
    <cellStyle name="_Header_Headcount_Monthly report" xfId="230"/>
    <cellStyle name="_Header_Konsolidierungsbeträge" xfId="231"/>
    <cellStyle name="_Header_LTMJUN02" xfId="232"/>
    <cellStyle name="_Header_M&amp;A Model" xfId="233"/>
    <cellStyle name="_Header_M&amp;A projections" xfId="234"/>
    <cellStyle name="_Header_MIS Reporting_Budget_JD" xfId="235"/>
    <cellStyle name="_Header_New Gerresheimer bank plan (sent to JPM 26 Nov 05)" xfId="236"/>
    <cellStyle name="_Header_P&amp;L bank model - received from Gerresheimer 1 12 05" xfId="237"/>
    <cellStyle name="_Header_Plan model" xfId="238"/>
    <cellStyle name="_Header_Quarterly" xfId="239"/>
    <cellStyle name="_Header_Tabelle1" xfId="240"/>
    <cellStyle name="_Header_TSG2" xfId="241"/>
    <cellStyle name="_Header_Update 2004 Figures v2 (sent to banks)" xfId="242"/>
    <cellStyle name="_Header_WC benchmark Calc" xfId="243"/>
    <cellStyle name="_Header_Zins und Bankschuldenberechnung_03_07" xfId="244"/>
    <cellStyle name="_Heading" xfId="245"/>
    <cellStyle name="_Heading_02 WACC Analysis" xfId="246"/>
    <cellStyle name="_Heading_Betas" xfId="247"/>
    <cellStyle name="_Heading_Cairo LBO model - Sept 06" xfId="248"/>
    <cellStyle name="_Heading_prestemp" xfId="249"/>
    <cellStyle name="_Heading_StockGroupKeyFinancials" xfId="250"/>
    <cellStyle name="_Highlight" xfId="251"/>
    <cellStyle name="_JV Model2" xfId="252"/>
    <cellStyle name="_Mal for innhenting av estimater Q4- 2002" xfId="253"/>
    <cellStyle name="_MD 1 model_blank_Augustin" xfId="254"/>
    <cellStyle name="_MTU Diesel LBO Model" xfId="255"/>
    <cellStyle name="_Multiple" xfId="256"/>
    <cellStyle name="_Multiple_Betas" xfId="257"/>
    <cellStyle name="_Multiple_Betas as of 18-Apr-20022" xfId="258"/>
    <cellStyle name="_Multiple_EXPN" xfId="259"/>
    <cellStyle name="_Multiple_MD 1 model_blank_Augustin" xfId="260"/>
    <cellStyle name="_Multiple_wacc bb final" xfId="261"/>
    <cellStyle name="_Multiple_wacc bb final_Feeder" xfId="262"/>
    <cellStyle name="_Multiple_wacc bb final_M&amp;A Model" xfId="263"/>
    <cellStyle name="_MultipleSpace" xfId="264"/>
    <cellStyle name="_MultipleSpace_Betas" xfId="265"/>
    <cellStyle name="_MultipleSpace_Betas as of 18-Apr-20022" xfId="266"/>
    <cellStyle name="_MultipleSpace_EXPN" xfId="267"/>
    <cellStyle name="_MultipleSpace_George - LBO Model 3.1" xfId="268"/>
    <cellStyle name="_MultipleSpace_George - LBO Model 3.1_Feeder" xfId="269"/>
    <cellStyle name="_MultipleSpace_George - LBO Model 3.1_M&amp;A Model" xfId="270"/>
    <cellStyle name="_MultipleSpace_MD 1 model_blank_Augustin" xfId="271"/>
    <cellStyle name="_MultipleSpace_Novartis-Roche 0805 v2" xfId="272"/>
    <cellStyle name="_MultipleSpace_wacc bb final" xfId="273"/>
    <cellStyle name="_MultipleSpace_wacc bb final_Feeder" xfId="274"/>
    <cellStyle name="_MultipleSpace_wacc bb final_George - LBO Model 3.1" xfId="275"/>
    <cellStyle name="_MultipleSpace_wacc bb final_George - LBO Model 3.1_Feeder" xfId="276"/>
    <cellStyle name="_MultipleSpace_wacc bb final_George - LBO Model 3.1_M&amp;A Model" xfId="277"/>
    <cellStyle name="_MultipleSpace_wacc bb final_M&amp;A Model" xfId="278"/>
    <cellStyle name="_NoData" xfId="279"/>
    <cellStyle name="_Pay as you Can logic for LBO" xfId="280"/>
    <cellStyle name="_Percent" xfId="281"/>
    <cellStyle name="_Percent_temp templates2" xfId="282"/>
    <cellStyle name="_PercentSpace" xfId="283"/>
    <cellStyle name="_PercentSpace_George - LBO Model 3.1" xfId="284"/>
    <cellStyle name="_PercentSpace_wacc bb final" xfId="285"/>
    <cellStyle name="_PercentSpace_wacc bb final_Feeder" xfId="286"/>
    <cellStyle name="_PercentSpace_wacc bb final_George - LBO Model 3.1" xfId="287"/>
    <cellStyle name="_PercentSpace_wacc bb final_George - LBO Model 3.1_Feeder" xfId="288"/>
    <cellStyle name="_PercentSpace_wacc bb final_George - LBO Model 3.1_M&amp;A Model" xfId="289"/>
    <cellStyle name="_PercentSpace_wacc bb final_M&amp;A Model" xfId="290"/>
    <cellStyle name="_Row1" xfId="291"/>
    <cellStyle name="_Row1_Bank case Viking (sent to JPM 10 Nov 05)" xfId="292"/>
    <cellStyle name="_Row1_Banks (2)" xfId="293"/>
    <cellStyle name="_Row1_EBITDA-Recon P&amp;L OPSP04-08_GX" xfId="294"/>
    <cellStyle name="_Row1_Feeder" xfId="295"/>
    <cellStyle name="_Row1_Financial ratios_Euroland" xfId="296"/>
    <cellStyle name="_Row1_GX evaluation without pensions" xfId="297"/>
    <cellStyle name="_Row1_GX OPSP0509 incl. Zurückdrehen Subsidies NVM" xfId="298"/>
    <cellStyle name="_Row1_GX Plan" xfId="299"/>
    <cellStyle name="_Row1_Headcount" xfId="300"/>
    <cellStyle name="_Row1_Headcount_Monthly report" xfId="301"/>
    <cellStyle name="_Row1_Konsolidierungsbeträge" xfId="302"/>
    <cellStyle name="_Row1_LTMJUN02" xfId="303"/>
    <cellStyle name="_Row1_M&amp;A Model" xfId="304"/>
    <cellStyle name="_Row1_M&amp;A projections" xfId="305"/>
    <cellStyle name="_Row1_MIS Reporting_Budget_JD" xfId="306"/>
    <cellStyle name="_Row1_New Gerresheimer bank plan (sent to JPM 26 Nov 05)" xfId="307"/>
    <cellStyle name="_Row1_P&amp;L bank model - received from Gerresheimer 1 12 05" xfId="308"/>
    <cellStyle name="_Row1_Plan model" xfId="309"/>
    <cellStyle name="_Row1_Quarterly" xfId="310"/>
    <cellStyle name="_Row1_Tabelle1" xfId="311"/>
    <cellStyle name="_Row1_TSG2" xfId="312"/>
    <cellStyle name="_Row1_Update 2004 Figures v2 (sent to banks)" xfId="313"/>
    <cellStyle name="_Row1_WC benchmark Calc" xfId="314"/>
    <cellStyle name="_Row1_Zins und Bankschuldenberechnung_03_07" xfId="315"/>
    <cellStyle name="_Row10" xfId="316"/>
    <cellStyle name="_Row2" xfId="317"/>
    <cellStyle name="_Row2_051003 Viking Business plan" xfId="318"/>
    <cellStyle name="_Row2_051004 Viking Business plan10" xfId="319"/>
    <cellStyle name="_Row2_Aurora LBO v25" xfId="320"/>
    <cellStyle name="_Row2_Balance Sheet_restl. Eurowährungsl._Gruppe" xfId="321"/>
    <cellStyle name="_Row2_Bank case Viking (sent to JPM 10 Nov 05)" xfId="322"/>
    <cellStyle name="_Row2_Cost Price Assumptions OPSP0509 vs OPSP0610" xfId="323"/>
    <cellStyle name="_Row2_Feeder" xfId="324"/>
    <cellStyle name="_Row2_FY 2005-2009 OP-SP Update (11-Oct-04)" xfId="325"/>
    <cellStyle name="_Row2_Key assumptions GX companies" xfId="326"/>
    <cellStyle name="_Row2_M&amp;A Model" xfId="327"/>
    <cellStyle name="_Row2_M&amp;A projections" xfId="328"/>
    <cellStyle name="_Row2_Mappe2" xfId="329"/>
    <cellStyle name="_Row2_MIS Reporting_Budget_OPSP 06-10" xfId="330"/>
    <cellStyle name="_Row2_TSG2" xfId="331"/>
    <cellStyle name="_Row3" xfId="332"/>
    <cellStyle name="_Row3_051003 Viking Business plan" xfId="333"/>
    <cellStyle name="_Row3_051004 Viking Business plan10" xfId="334"/>
    <cellStyle name="_Row3_Balance Sheet_restl. Eurowährungsl._Gruppe" xfId="335"/>
    <cellStyle name="_Row3_Bank case Viking (sent to JPM 10 Nov 05)" xfId="336"/>
    <cellStyle name="_Row3_Cost Price Assumptions OPSP0509 vs OPSP0610" xfId="337"/>
    <cellStyle name="_Row3_Feeder" xfId="338"/>
    <cellStyle name="_Row3_FY 2005-2009 OP-SP Update (11-Oct-04)" xfId="339"/>
    <cellStyle name="_Row3_Key assumptions GX companies" xfId="340"/>
    <cellStyle name="_Row3_M&amp;A Model" xfId="341"/>
    <cellStyle name="_Row3_M&amp;A projections" xfId="342"/>
    <cellStyle name="_Row3_Mappe2" xfId="343"/>
    <cellStyle name="_Row3_MIS Reporting_Budget_OPSP 06-10" xfId="344"/>
    <cellStyle name="_Row3_TSG2" xfId="345"/>
    <cellStyle name="_Row4" xfId="346"/>
    <cellStyle name="_Row4_021202External Sales 2000_2001_DA_feste Werte" xfId="347"/>
    <cellStyle name="_Row4_051003 Viking Business plan" xfId="348"/>
    <cellStyle name="_Row4_051004 Viking Business plan10" xfId="349"/>
    <cellStyle name="_Row4_Bank case Viking (sent to JPM 10 Nov 05)" xfId="350"/>
    <cellStyle name="_Row4_Cost Price Assumptions OPSP0509 vs OPSP0610" xfId="351"/>
    <cellStyle name="_Row4_Feeder" xfId="352"/>
    <cellStyle name="_Row4_FY 2005-2009 OP-SP Update (11-Oct-04)" xfId="353"/>
    <cellStyle name="_Row4_Key assumptions GX companies" xfId="354"/>
    <cellStyle name="_Row4_Konsolidierungsbeträge" xfId="355"/>
    <cellStyle name="_Row4_M&amp;A Model" xfId="356"/>
    <cellStyle name="_Row4_M&amp;A projections" xfId="357"/>
    <cellStyle name="_Row4_Mappe2" xfId="358"/>
    <cellStyle name="_Row4_MIS Reporting_Budget_OPSP 06-10" xfId="359"/>
    <cellStyle name="_Row4_TSG2" xfId="360"/>
    <cellStyle name="_Row5" xfId="361"/>
    <cellStyle name="_Row5_021202External Sales 2000_2001_DA_feste Werte" xfId="362"/>
    <cellStyle name="_Row5_051003 Viking Business plan" xfId="363"/>
    <cellStyle name="_Row5_051004 Viking Business plan10" xfId="364"/>
    <cellStyle name="_Row5_Balance Sheet_restl. Eurowährungsl._Gruppe" xfId="365"/>
    <cellStyle name="_Row5_Bank case Viking (sent to JPM 10 Nov 05)" xfId="366"/>
    <cellStyle name="_Row5_Cost Price Assumptions OPSP0509 vs OPSP0610" xfId="367"/>
    <cellStyle name="_Row5_Feeder" xfId="368"/>
    <cellStyle name="_Row5_FY 2005-2009 OP-SP Update (11-Oct-04)" xfId="369"/>
    <cellStyle name="_Row5_Key assumptions GX companies" xfId="370"/>
    <cellStyle name="_Row5_M&amp;A Model" xfId="371"/>
    <cellStyle name="_Row5_M&amp;A projections" xfId="372"/>
    <cellStyle name="_Row5_Mappe2" xfId="373"/>
    <cellStyle name="_Row5_MIS Reporting_Budget_OPSP 06-10" xfId="374"/>
    <cellStyle name="_Row5_TSG2" xfId="375"/>
    <cellStyle name="_Row6" xfId="376"/>
    <cellStyle name="_Row6_021202External Sales 2000_2001_DA_feste Werte" xfId="377"/>
    <cellStyle name="_Row6_051003 Viking Business plan" xfId="378"/>
    <cellStyle name="_Row6_051004 Viking Business plan10" xfId="379"/>
    <cellStyle name="_Row6_Balance Sheet_restl. Eurowährungsl._Gruppe" xfId="380"/>
    <cellStyle name="_Row6_Bank case Viking (sent to JPM 10 Nov 05)" xfId="381"/>
    <cellStyle name="_Row6_Cost Price Assumptions OPSP0509 vs OPSP0610" xfId="382"/>
    <cellStyle name="_Row6_Feeder" xfId="383"/>
    <cellStyle name="_Row6_FY 2005-2009 OP-SP Update (11-Oct-04)" xfId="384"/>
    <cellStyle name="_Row6_Key assumptions GX companies" xfId="385"/>
    <cellStyle name="_Row6_M&amp;A Model" xfId="386"/>
    <cellStyle name="_Row6_M&amp;A projections" xfId="387"/>
    <cellStyle name="_Row6_Mappe2" xfId="388"/>
    <cellStyle name="_Row6_MIS Reporting_Budget_OPSP 06-10" xfId="389"/>
    <cellStyle name="_Row6_TSG2" xfId="390"/>
    <cellStyle name="_Row7" xfId="391"/>
    <cellStyle name="_Row7_021202External Sales 2000_2001_DA_feste Werte" xfId="392"/>
    <cellStyle name="_Row7_051003 Viking Business plan" xfId="393"/>
    <cellStyle name="_Row7_051004 Viking Business plan10" xfId="394"/>
    <cellStyle name="_Row7_Balance Sheet_restl. Eurowährungsl._Gruppe" xfId="395"/>
    <cellStyle name="_Row7_Bank case Viking (sent to JPM 10 Nov 05)" xfId="396"/>
    <cellStyle name="_Row7_Cost Price Assumptions OPSP0509 vs OPSP0610" xfId="397"/>
    <cellStyle name="_Row7_Feeder" xfId="398"/>
    <cellStyle name="_Row7_FY 2005-2009 OP-SP Update (11-Oct-04)" xfId="399"/>
    <cellStyle name="_Row7_Key assumptions GX companies" xfId="400"/>
    <cellStyle name="_Row7_Konsolidierungsbeträge" xfId="401"/>
    <cellStyle name="_Row7_M&amp;A Model" xfId="402"/>
    <cellStyle name="_Row7_M&amp;A projections" xfId="403"/>
    <cellStyle name="_Row7_Mappe2" xfId="404"/>
    <cellStyle name="_Row7_MIS Reporting_Budget_OPSP 06-10" xfId="405"/>
    <cellStyle name="_Row7_TSG2" xfId="406"/>
    <cellStyle name="_Row8" xfId="407"/>
    <cellStyle name="_Row8_021202External Sales 2000_2001_DA_feste Werte" xfId="408"/>
    <cellStyle name="_Row8_Balance Sheet_restl. Eurowährungsl._Gruppe" xfId="409"/>
    <cellStyle name="_Row8_Konsolidierungsbeträge" xfId="410"/>
    <cellStyle name="_SAB_standalone" xfId="411"/>
    <cellStyle name="_SubHeading" xfId="412"/>
    <cellStyle name="_SubHeading_02 WACC Analysis" xfId="413"/>
    <cellStyle name="_SubHeading_Betas" xfId="414"/>
    <cellStyle name="_SubHeading_Cairo LBO model - Sept 06" xfId="415"/>
    <cellStyle name="_SubHeading_CSC 10_03_01 (David Brown_85B)" xfId="416"/>
    <cellStyle name="_SubHeading_prestemp" xfId="417"/>
    <cellStyle name="_SubHeading_StockGroupKeyFinancials" xfId="418"/>
    <cellStyle name="_Table" xfId="419"/>
    <cellStyle name="_Table_02 WACC Analysis" xfId="420"/>
    <cellStyle name="_Table_Betas" xfId="421"/>
    <cellStyle name="_Table_Cairo LBO model - Sept 06" xfId="422"/>
    <cellStyle name="_Table_Feeder" xfId="423"/>
    <cellStyle name="_Table_M&amp;A Model" xfId="424"/>
    <cellStyle name="_Table_M&amp;A projections" xfId="425"/>
    <cellStyle name="_Table_MTU Diesel LBO Model" xfId="426"/>
    <cellStyle name="_Table_StockGroupKeyFinancials" xfId="427"/>
    <cellStyle name="_Table_underwrite table" xfId="428"/>
    <cellStyle name="_TableHead" xfId="429"/>
    <cellStyle name="_TableHead_02 WACC Analysis" xfId="430"/>
    <cellStyle name="_TableHead_Betas" xfId="431"/>
    <cellStyle name="_TableHead_Cairo LBO model - Sept 06" xfId="432"/>
    <cellStyle name="_TableHead_Feeder" xfId="433"/>
    <cellStyle name="_TableHead_M&amp;A Model" xfId="434"/>
    <cellStyle name="_TableHead_M&amp;A projections" xfId="435"/>
    <cellStyle name="_TableHead_MTU Diesel LBO Model" xfId="436"/>
    <cellStyle name="_TableHead_RIM Pharma Projections v03" xfId="437"/>
    <cellStyle name="_TableHead_StockGroupKeyFinancials" xfId="438"/>
    <cellStyle name="_TableHead_underwrite table" xfId="439"/>
    <cellStyle name="_TableRowHead" xfId="440"/>
    <cellStyle name="_TableRowHead_02 WACC Analysis" xfId="441"/>
    <cellStyle name="_TableRowHead_Betas" xfId="442"/>
    <cellStyle name="_TableRowHead_Cairo LBO model - Sept 06" xfId="443"/>
    <cellStyle name="_TableRowHead_StockGroupKeyFinancials" xfId="444"/>
    <cellStyle name="_TableSuperHead" xfId="445"/>
    <cellStyle name="_TableSuperHead_02 WACC Analysis" xfId="446"/>
    <cellStyle name="_TableSuperHead_Betas" xfId="447"/>
    <cellStyle name="_TableSuperHead_Cairo LBO model - Sept 06" xfId="448"/>
    <cellStyle name="_TableSuperHead_StockGroupKeyFinancials" xfId="449"/>
    <cellStyle name="_underwrite table" xfId="450"/>
    <cellStyle name="_VNU Operating Model V4" xfId="451"/>
    <cellStyle name="’Ê‰Ý [0.00]_GE 3 MINIMUM" xfId="452"/>
    <cellStyle name="’Ê‰Ý_GE 3 MINIMUM" xfId="453"/>
    <cellStyle name="=C:\WINNT35\SYSTEM32\COMMAND.COM" xfId="454"/>
    <cellStyle name="¢" xfId="455"/>
    <cellStyle name="¢ Currency [1]" xfId="456"/>
    <cellStyle name="¢ Currency [2]" xfId="457"/>
    <cellStyle name="¢ Currency [3]" xfId="458"/>
    <cellStyle name="¢_Feeder" xfId="459"/>
    <cellStyle name="¢_M&amp;A Model" xfId="460"/>
    <cellStyle name="¢_temp templates2" xfId="461"/>
    <cellStyle name="£ BP" xfId="462"/>
    <cellStyle name="£ Currency" xfId="463"/>
    <cellStyle name="£ Currency [0]" xfId="464"/>
    <cellStyle name="£ Currency [1]" xfId="465"/>
    <cellStyle name="£ Currency [2]" xfId="466"/>
    <cellStyle name="£0" xfId="467"/>
    <cellStyle name="£1" xfId="468"/>
    <cellStyle name="£2" xfId="469"/>
    <cellStyle name="£Currency [0]" xfId="470"/>
    <cellStyle name="£Currency [1]" xfId="471"/>
    <cellStyle name="£Currency [2]" xfId="472"/>
    <cellStyle name="£Currency [p]" xfId="473"/>
    <cellStyle name="£Currency [p2]" xfId="474"/>
    <cellStyle name="£Pounds" xfId="475"/>
    <cellStyle name="¥ JY" xfId="476"/>
    <cellStyle name="•W_GE 3 MINIMUM" xfId="477"/>
    <cellStyle name="•W€_GE 3 MINIMUM" xfId="478"/>
    <cellStyle name="€ Currency" xfId="479"/>
    <cellStyle name="0" xfId="480"/>
    <cellStyle name="0%" xfId="481"/>
    <cellStyle name="0,0_x000d__x000a_NA_x000d__x000a_" xfId="482"/>
    <cellStyle name="0.0" xfId="483"/>
    <cellStyle name="0.0 x" xfId="484"/>
    <cellStyle name="0.0%" xfId="485"/>
    <cellStyle name="0.0_temp templates2" xfId="486"/>
    <cellStyle name="0.00" xfId="487"/>
    <cellStyle name="0.00%" xfId="488"/>
    <cellStyle name="0.0x" xfId="489"/>
    <cellStyle name="0_Bullet model 122_temp templates2" xfId="490"/>
    <cellStyle name="0_Grandvision_LBO2" xfId="491"/>
    <cellStyle name="0_Proforma Model 100701 v.5" xfId="492"/>
    <cellStyle name="000" xfId="493"/>
    <cellStyle name="0000" xfId="494"/>
    <cellStyle name="0x" xfId="495"/>
    <cellStyle name="1,comma" xfId="496"/>
    <cellStyle name="2" xfId="497"/>
    <cellStyle name="752131" xfId="498"/>
    <cellStyle name="ac" xfId="499"/>
    <cellStyle name="Acct 0" xfId="500"/>
    <cellStyle name="Acct 1" xfId="501"/>
    <cellStyle name="Acct 1,$" xfId="502"/>
    <cellStyle name="Acquisition" xfId="503"/>
    <cellStyle name="Actual Date" xfId="504"/>
    <cellStyle name="AFE" xfId="505"/>
    <cellStyle name="aht" xfId="506"/>
    <cellStyle name="Año" xfId="507"/>
    <cellStyle name="ARaging" xfId="508"/>
    <cellStyle name="Arial 10" xfId="509"/>
    <cellStyle name="Arial 12" xfId="510"/>
    <cellStyle name="ArialNormal" xfId="511"/>
    <cellStyle name="AsNorm" xfId="512"/>
    <cellStyle name="AsPer" xfId="513"/>
    <cellStyle name="Ass_perc" xfId="514"/>
    <cellStyle name="Assum 0" xfId="515"/>
    <cellStyle name="Assum 1,$" xfId="516"/>
    <cellStyle name="Assum 1,%" xfId="517"/>
    <cellStyle name="Assumption" xfId="518"/>
    <cellStyle name="Assumptions" xfId="519"/>
    <cellStyle name="Assumptions % 0 dp" xfId="520"/>
    <cellStyle name="Assumptions % 1 dp" xfId="521"/>
    <cellStyle name="Assumptions % 2 dp" xfId="522"/>
    <cellStyle name="Assumptions % 3 dp" xfId="523"/>
    <cellStyle name="Assumptions 0 dp" xfId="524"/>
    <cellStyle name="Assumptions 1 dp" xfId="525"/>
    <cellStyle name="Assumptions 2 dp" xfId="526"/>
    <cellStyle name="Assumptions 3 dp" xfId="527"/>
    <cellStyle name="Assumptions x 1 dp" xfId="528"/>
    <cellStyle name="Assumptions x 2 dp" xfId="529"/>
    <cellStyle name="ast" xfId="530"/>
    <cellStyle name="at" xfId="531"/>
    <cellStyle name="Attention" xfId="532"/>
    <cellStyle name="b" xfId="533"/>
    <cellStyle name="b$0" xfId="534"/>
    <cellStyle name="b$1" xfId="535"/>
    <cellStyle name="b$2" xfId="536"/>
    <cellStyle name="b%0" xfId="537"/>
    <cellStyle name="b%1" xfId="538"/>
    <cellStyle name="b%2" xfId="539"/>
    <cellStyle name="b_Eagle Bear model v8" xfId="540"/>
    <cellStyle name="b_Feeder" xfId="541"/>
    <cellStyle name="b_GKN_FNM model v3" xfId="542"/>
    <cellStyle name="b_Impress - Shareholder returns - JPM Apr 26" xfId="543"/>
    <cellStyle name="b_M&amp;A Model" xfId="544"/>
    <cellStyle name="b_M&amp;A projections" xfId="545"/>
    <cellStyle name="b_Mivisa DCF v1" xfId="546"/>
    <cellStyle name="b£0" xfId="547"/>
    <cellStyle name="b£1" xfId="548"/>
    <cellStyle name="b£2" xfId="549"/>
    <cellStyle name="b0" xfId="550"/>
    <cellStyle name="b09" xfId="551"/>
    <cellStyle name="b1" xfId="552"/>
    <cellStyle name="b2" xfId="553"/>
    <cellStyle name="BalanceSheet" xfId="554"/>
    <cellStyle name="Basic" xfId="555"/>
    <cellStyle name="Basis points" xfId="556"/>
    <cellStyle name="Besuchter Hyperlink_Key assumptions GX companies" xfId="557"/>
    <cellStyle name="Billion" xfId="558"/>
    <cellStyle name="bjla" xfId="559"/>
    <cellStyle name="bl" xfId="560"/>
    <cellStyle name="black" xfId="561"/>
    <cellStyle name="Black block" xfId="562"/>
    <cellStyle name="Black Text" xfId="563"/>
    <cellStyle name="Black Text (No Wrap)" xfId="564"/>
    <cellStyle name="Black_Feeder" xfId="565"/>
    <cellStyle name="BlackStrike" xfId="566"/>
    <cellStyle name="BlackText" xfId="567"/>
    <cellStyle name="BlackTitle" xfId="568"/>
    <cellStyle name="Blank" xfId="569"/>
    <cellStyle name="Blank [$]" xfId="570"/>
    <cellStyle name="Blank [%]" xfId="571"/>
    <cellStyle name="Blank [,]" xfId="572"/>
    <cellStyle name="Blank [1$]" xfId="573"/>
    <cellStyle name="Blank [1%]" xfId="574"/>
    <cellStyle name="Blank [1,]" xfId="575"/>
    <cellStyle name="Blank [2$]" xfId="576"/>
    <cellStyle name="Blank [2%]" xfId="577"/>
    <cellStyle name="Blank [2,]" xfId="578"/>
    <cellStyle name="Blank [3$]" xfId="579"/>
    <cellStyle name="Blank [3%]" xfId="580"/>
    <cellStyle name="Blank [3,]" xfId="581"/>
    <cellStyle name="blank_Feeder" xfId="582"/>
    <cellStyle name="block" xfId="583"/>
    <cellStyle name="blu" xfId="584"/>
    <cellStyle name="Blue" xfId="585"/>
    <cellStyle name="blue shading" xfId="586"/>
    <cellStyle name="Blue Text" xfId="587"/>
    <cellStyle name="Blue Text - Ariel 10" xfId="588"/>
    <cellStyle name="Blue&amp;white" xfId="589"/>
    <cellStyle name="BLuedashZero" xfId="590"/>
    <cellStyle name="bluenodec" xfId="591"/>
    <cellStyle name="bluepercent" xfId="592"/>
    <cellStyle name="bo" xfId="593"/>
    <cellStyle name="bobby" xfId="594"/>
    <cellStyle name="Body_$Dollars" xfId="595"/>
    <cellStyle name="bold" xfId="596"/>
    <cellStyle name="Bold/Border" xfId="597"/>
    <cellStyle name="BoldText" xfId="598"/>
    <cellStyle name="Border" xfId="599"/>
    <cellStyle name="Border Heavy" xfId="600"/>
    <cellStyle name="Border Heavy Up" xfId="601"/>
    <cellStyle name="Border Thick" xfId="602"/>
    <cellStyle name="Border Thin" xfId="603"/>
    <cellStyle name="Border Thin Up" xfId="604"/>
    <cellStyle name="Border Thin_040921_Eutelsat_LBOModel_v1" xfId="605"/>
    <cellStyle name="Border, Bottom" xfId="606"/>
    <cellStyle name="Border, Left" xfId="607"/>
    <cellStyle name="Border, Right" xfId="608"/>
    <cellStyle name="Border, Top" xfId="609"/>
    <cellStyle name="Bottom" xfId="610"/>
    <cellStyle name="Bottom bold border" xfId="611"/>
    <cellStyle name="Bottom Edge" xfId="612"/>
    <cellStyle name="Bottom single border" xfId="613"/>
    <cellStyle name="bout" xfId="614"/>
    <cellStyle name="BoxHeading" xfId="615"/>
    <cellStyle name="bp--" xfId="616"/>
    <cellStyle name="Brand Align Left Text" xfId="617"/>
    <cellStyle name="Brand Default" xfId="618"/>
    <cellStyle name="Brand Percent" xfId="619"/>
    <cellStyle name="Brand Source" xfId="620"/>
    <cellStyle name="Brand Subtitle with Underline" xfId="621"/>
    <cellStyle name="Brand Subtitle without Underline" xfId="622"/>
    <cellStyle name="Brand Title" xfId="623"/>
    <cellStyle name="British Pound" xfId="624"/>
    <cellStyle name="BritPound" xfId="625"/>
    <cellStyle name="bss0" xfId="626"/>
    <cellStyle name="bss2" xfId="627"/>
    <cellStyle name="bt" xfId="628"/>
    <cellStyle name="btit" xfId="629"/>
    <cellStyle name="Bullet" xfId="630"/>
    <cellStyle name="Bullet [0]" xfId="631"/>
    <cellStyle name="Bullet [2]" xfId="632"/>
    <cellStyle name="Bullet [4]" xfId="633"/>
    <cellStyle name="Buyout" xfId="634"/>
    <cellStyle name="bx0" xfId="635"/>
    <cellStyle name="bx1" xfId="636"/>
    <cellStyle name="bx2" xfId="637"/>
    <cellStyle name="c" xfId="638"/>
    <cellStyle name="c_Accretion (2)" xfId="639"/>
    <cellStyle name="c_ad3" xfId="640"/>
    <cellStyle name="c_ad5" xfId="641"/>
    <cellStyle name="c_asko1" xfId="642"/>
    <cellStyle name="c_Bal Sheets (2)" xfId="643"/>
    <cellStyle name="c_btr_2" xfId="644"/>
    <cellStyle name="c_btr_3" xfId="645"/>
    <cellStyle name="c_Cases (2)" xfId="646"/>
    <cellStyle name="c_Cases (2)_Feeder" xfId="647"/>
    <cellStyle name="c_Cases (2)_M&amp;A Model" xfId="648"/>
    <cellStyle name="c_Cases (2)_M&amp;A projections" xfId="649"/>
    <cellStyle name="c_Cases (3)" xfId="650"/>
    <cellStyle name="c_Cases (4)" xfId="651"/>
    <cellStyle name="c_Crown" xfId="652"/>
    <cellStyle name="c_dccmod1" xfId="653"/>
    <cellStyle name="c_DCF Matrix (2)" xfId="654"/>
    <cellStyle name="c_DCF Matrix (3)" xfId="655"/>
    <cellStyle name="c_DCF Matrix (4)" xfId="656"/>
    <cellStyle name="c_DMPR Sale (2)" xfId="657"/>
    <cellStyle name="c_Earnings (2)" xfId="658"/>
    <cellStyle name="c_Earnings (2)_Feeder" xfId="659"/>
    <cellStyle name="c_Earnings (2)_M&amp;A Model" xfId="660"/>
    <cellStyle name="c_Earnings (2)_M&amp;A projections" xfId="661"/>
    <cellStyle name="c_Earn-out (2)" xfId="662"/>
    <cellStyle name="c_Euro 2 (2)" xfId="663"/>
    <cellStyle name="c_Euro PICS (2)" xfId="664"/>
    <cellStyle name="c_Euro PICS (3)" xfId="665"/>
    <cellStyle name="c_Europe (2)" xfId="666"/>
    <cellStyle name="c_Feeder" xfId="667"/>
    <cellStyle name="c_Grouse+Pelican" xfId="668"/>
    <cellStyle name="c_Hist Inputs (2)" xfId="669"/>
    <cellStyle name="c_Hist Inputs (3)" xfId="670"/>
    <cellStyle name="c_Hist Inputs (4)" xfId="671"/>
    <cellStyle name="c_LBO" xfId="672"/>
    <cellStyle name="c_LBO IRR (2)" xfId="673"/>
    <cellStyle name="c_LBO Sens (2)" xfId="674"/>
    <cellStyle name="c_LBO Summary (2)" xfId="675"/>
    <cellStyle name="c_lbo1" xfId="676"/>
    <cellStyle name="c_lbo3" xfId="677"/>
    <cellStyle name="c_LBO5" xfId="678"/>
    <cellStyle name="c_M&amp;A Model" xfId="679"/>
    <cellStyle name="c_M&amp;A projections" xfId="680"/>
    <cellStyle name="c_Macros" xfId="681"/>
    <cellStyle name="c_Macros (2)" xfId="682"/>
    <cellStyle name="c_Manager (2)" xfId="683"/>
    <cellStyle name="c_mod7" xfId="684"/>
    <cellStyle name="c_mod9" xfId="685"/>
    <cellStyle name="c_model1" xfId="686"/>
    <cellStyle name="c_model6" xfId="687"/>
    <cellStyle name="c_NOL (2)" xfId="688"/>
    <cellStyle name="c_PFMA Cap (2)" xfId="689"/>
    <cellStyle name="c_PFMA Credit (2)" xfId="690"/>
    <cellStyle name="c_quarterly template" xfId="691"/>
    <cellStyle name="c_Restructuring (2)" xfId="692"/>
    <cellStyle name="c_Revised" xfId="693"/>
    <cellStyle name="c_saft_1" xfId="694"/>
    <cellStyle name="c_Schedules (2)" xfId="695"/>
    <cellStyle name="c_Spring Final model" xfId="696"/>
    <cellStyle name="c_Standalone (2)" xfId="697"/>
    <cellStyle name="c_Trading Val Calc (2)" xfId="698"/>
    <cellStyle name="c_Val Sum (2)" xfId="699"/>
    <cellStyle name="c_WACC benchmarking" xfId="700"/>
    <cellStyle name="c_WACC benchmarking_Blank LBO Model v15" xfId="701"/>
    <cellStyle name="c_WACC benchmarking_Crown Holdings  - LBO Model 1.8 covenants_3 Aug" xfId="702"/>
    <cellStyle name="c_WACC benchmarking_George - LBO Model 3.1" xfId="703"/>
    <cellStyle name="c_West Ham (2)" xfId="704"/>
    <cellStyle name="c_Westham (2)" xfId="705"/>
    <cellStyle name="c_Wool_01_07_12_1999" xfId="706"/>
    <cellStyle name="c_Wool_14_12_1999_2" xfId="707"/>
    <cellStyle name="c_Wool_15_02_2000" xfId="708"/>
    <cellStyle name="c_Wool_28_01_2000_02" xfId="709"/>
    <cellStyle name="c_WoolEuro_12_04_2000_02" xfId="710"/>
    <cellStyle name="c_WoolEuro_17_03_2000" xfId="711"/>
    <cellStyle name="c_WoolEuro_20_03_2000_3" xfId="712"/>
    <cellStyle name="c_WoolEuroEx_14_04_2000_01" xfId="713"/>
    <cellStyle name="c0" xfId="714"/>
    <cellStyle name="c2" xfId="715"/>
    <cellStyle name="cach" xfId="716"/>
    <cellStyle name="Calc Currency (0)" xfId="717"/>
    <cellStyle name="Calc Currency (2)" xfId="718"/>
    <cellStyle name="Calc Percent (0)" xfId="719"/>
    <cellStyle name="Calc Percent (1)" xfId="720"/>
    <cellStyle name="Calc Percent (2)" xfId="721"/>
    <cellStyle name="Calc Units (0)" xfId="722"/>
    <cellStyle name="Calc Units (1)" xfId="723"/>
    <cellStyle name="Calc Units (2)" xfId="724"/>
    <cellStyle name="Calcs" xfId="725"/>
    <cellStyle name="Case" xfId="726"/>
    <cellStyle name="CashFlow" xfId="727"/>
    <cellStyle name="CATV Total" xfId="728"/>
    <cellStyle name="CB" xfId="729"/>
    <cellStyle name="center" xfId="730"/>
    <cellStyle name="Cents" xfId="731"/>
    <cellStyle name="Ch, Column Header" xfId="732"/>
    <cellStyle name="Change" xfId="733"/>
    <cellStyle name="Changeable" xfId="734"/>
    <cellStyle name="Check" xfId="735"/>
    <cellStyle name="Choose Number" xfId="736"/>
    <cellStyle name="CK_BrokersInput" xfId="737"/>
    <cellStyle name="CLEAR" xfId="738"/>
    <cellStyle name="Client Name" xfId="739"/>
    <cellStyle name="co" xfId="740"/>
    <cellStyle name="COL HEADINGS" xfId="741"/>
    <cellStyle name="Colhead_left" xfId="742"/>
    <cellStyle name="ColHeading" xfId="743"/>
    <cellStyle name="colheadleft" xfId="744"/>
    <cellStyle name="colheadright" xfId="745"/>
    <cellStyle name="Column Heading" xfId="746"/>
    <cellStyle name="Column Headings" xfId="747"/>
    <cellStyle name="Column Title" xfId="748"/>
    <cellStyle name="column_heading" xfId="749"/>
    <cellStyle name="ColumnHead" xfId="750"/>
    <cellStyle name="ColumnHeaders" xfId="751"/>
    <cellStyle name="ColumnHeading" xfId="752"/>
    <cellStyle name="Comma  - Style1" xfId="753"/>
    <cellStyle name="Comma  - Style2" xfId="754"/>
    <cellStyle name="Comma  - Style3" xfId="755"/>
    <cellStyle name="Comma  - Style4" xfId="756"/>
    <cellStyle name="Comma  - Style5" xfId="757"/>
    <cellStyle name="Comma  - Style6" xfId="758"/>
    <cellStyle name="Comma  - Style7" xfId="759"/>
    <cellStyle name="Comma  - Style8" xfId="760"/>
    <cellStyle name="Comma (0)" xfId="761"/>
    <cellStyle name="Comma (0dp)" xfId="762"/>
    <cellStyle name="Comma (1dp)" xfId="763"/>
    <cellStyle name="Comma (2)" xfId="764"/>
    <cellStyle name="Comma (2dp)" xfId="765"/>
    <cellStyle name="Comma ," xfId="766"/>
    <cellStyle name="Comma [0] Total" xfId="767"/>
    <cellStyle name="Comma [00]" xfId="768"/>
    <cellStyle name="Comma [1]" xfId="769"/>
    <cellStyle name="Comma [1] Total" xfId="770"/>
    <cellStyle name="Comma [1]_Feeder" xfId="771"/>
    <cellStyle name="Comma [2]" xfId="772"/>
    <cellStyle name="Comma [2] Total" xfId="773"/>
    <cellStyle name="Comma [2]_Funds Flow 01" xfId="774"/>
    <cellStyle name="Comma [3]" xfId="775"/>
    <cellStyle name="comma [zero]" xfId="776"/>
    <cellStyle name="Comma 0" xfId="777"/>
    <cellStyle name="Comma 0*" xfId="778"/>
    <cellStyle name="Comma 2*" xfId="779"/>
    <cellStyle name="Comma 2_Accretion_Dilution" xfId="780"/>
    <cellStyle name="Comma 3*" xfId="781"/>
    <cellStyle name="Comma Cents" xfId="782"/>
    <cellStyle name="Comma*" xfId="783"/>
    <cellStyle name="Comma, 1 dec" xfId="784"/>
    <cellStyle name="Comma0" xfId="785"/>
    <cellStyle name="Comma1" xfId="786"/>
    <cellStyle name="Comma1 - Style1" xfId="787"/>
    <cellStyle name="Comma2" xfId="788"/>
    <cellStyle name="Comment" xfId="789"/>
    <cellStyle name="Company" xfId="790"/>
    <cellStyle name="Company Name" xfId="791"/>
    <cellStyle name="CompanyName" xfId="792"/>
    <cellStyle name="CountryTitle" xfId="793"/>
    <cellStyle name="Cover Date" xfId="794"/>
    <cellStyle name="Cover Subtitle" xfId="795"/>
    <cellStyle name="Cover Title" xfId="796"/>
    <cellStyle name="cu" xfId="797"/>
    <cellStyle name="CurRatio" xfId="798"/>
    <cellStyle name="Currency--" xfId="799"/>
    <cellStyle name="Currency [0] Total" xfId="800"/>
    <cellStyle name="Currency [00]" xfId="801"/>
    <cellStyle name="Currency [1]" xfId="802"/>
    <cellStyle name="Currency [1] Total" xfId="803"/>
    <cellStyle name="Currency [1]_Feeder" xfId="804"/>
    <cellStyle name="Currency [2]" xfId="805"/>
    <cellStyle name="Currency [2] Total" xfId="806"/>
    <cellStyle name="Currency [2]_Feeder" xfId="807"/>
    <cellStyle name="Currency [3]" xfId="808"/>
    <cellStyle name="Currency [B]" xfId="809"/>
    <cellStyle name="Currency 0" xfId="810"/>
    <cellStyle name="Currency 2" xfId="811"/>
    <cellStyle name="Currency 2 Total" xfId="812"/>
    <cellStyle name="Currency 2*" xfId="813"/>
    <cellStyle name="Currency 2_Accretion_Dilution" xfId="814"/>
    <cellStyle name="Currency 3*" xfId="815"/>
    <cellStyle name="Currency Euros" xfId="816"/>
    <cellStyle name="Currency$" xfId="817"/>
    <cellStyle name="Currency*" xfId="818"/>
    <cellStyle name="Currency0" xfId="819"/>
    <cellStyle name="Currency2" xfId="820"/>
    <cellStyle name="d" xfId="821"/>
    <cellStyle name="Dash" xfId="822"/>
    <cellStyle name="Data" xfId="823"/>
    <cellStyle name="DataBold" xfId="824"/>
    <cellStyle name="Date" xfId="825"/>
    <cellStyle name="Date [Abbreviated]" xfId="826"/>
    <cellStyle name="date [dd mmm]" xfId="827"/>
    <cellStyle name="Date [d-mmm-yy]" xfId="828"/>
    <cellStyle name="Date [D-M-Y]" xfId="829"/>
    <cellStyle name="Date [Long Europe]" xfId="830"/>
    <cellStyle name="Date [Long U.S.]" xfId="831"/>
    <cellStyle name="Date [M/D/Y]" xfId="832"/>
    <cellStyle name="Date [M/Y]" xfId="833"/>
    <cellStyle name="Date [mm-d-yy]" xfId="834"/>
    <cellStyle name="Date [mm-d-yyyy]" xfId="835"/>
    <cellStyle name="date [mmm yy]" xfId="836"/>
    <cellStyle name="date [mmm yyyy]" xfId="837"/>
    <cellStyle name="Date [mmm-d-yyyy]" xfId="838"/>
    <cellStyle name="Date [mmm-yy]" xfId="839"/>
    <cellStyle name="Date [mmm-yyyy]" xfId="840"/>
    <cellStyle name="Date [M-Y]" xfId="841"/>
    <cellStyle name="Date [Short Europe]" xfId="842"/>
    <cellStyle name="Date [Short U.S.]" xfId="843"/>
    <cellStyle name="Date Aligned" xfId="844"/>
    <cellStyle name="Date Aligned*" xfId="845"/>
    <cellStyle name="Date Short" xfId="846"/>
    <cellStyle name="Date_~7573237" xfId="847"/>
    <cellStyle name="Date2" xfId="848"/>
    <cellStyle name="DateLong" xfId="849"/>
    <cellStyle name="Dates" xfId="850"/>
    <cellStyle name="DateYear" xfId="851"/>
    <cellStyle name="day month" xfId="852"/>
    <cellStyle name="days" xfId="853"/>
    <cellStyle name="decimal [3]" xfId="854"/>
    <cellStyle name="decimal [4]" xfId="855"/>
    <cellStyle name="Dezimal__Utopia Index Index und Guidance (Deutsch)" xfId="856"/>
    <cellStyle name="Dia" xfId="857"/>
    <cellStyle name="d-mmm-yy" xfId="858"/>
    <cellStyle name="Dollar" xfId="859"/>
    <cellStyle name="dollars" xfId="860"/>
    <cellStyle name="Dollars No Decimal" xfId="861"/>
    <cellStyle name="Dollars One Decimal" xfId="862"/>
    <cellStyle name="Dollars_MD 1 model_blank_Augustin" xfId="863"/>
    <cellStyle name="DollarWhole" xfId="864"/>
    <cellStyle name="Dotted Line" xfId="865"/>
    <cellStyle name="Double Accounting" xfId="866"/>
    <cellStyle name="Double Underline" xfId="867"/>
    <cellStyle name="Download" xfId="868"/>
    <cellStyle name="Driver" xfId="869"/>
    <cellStyle name="Driver Lable" xfId="870"/>
    <cellStyle name="Driver_Feeder" xfId="871"/>
    <cellStyle name="Encabez1" xfId="872"/>
    <cellStyle name="Encabez2" xfId="873"/>
    <cellStyle name="End Table" xfId="874"/>
    <cellStyle name="Enter Currency (0)" xfId="875"/>
    <cellStyle name="Enter Currency (2)" xfId="876"/>
    <cellStyle name="Enter Units (0)" xfId="877"/>
    <cellStyle name="Enter Units (1)" xfId="878"/>
    <cellStyle name="Enter Units (2)" xfId="879"/>
    <cellStyle name="EPS" xfId="880"/>
    <cellStyle name="EPSActual" xfId="881"/>
    <cellStyle name="EPSEstimate" xfId="882"/>
    <cellStyle name="Estimate" xfId="883"/>
    <cellStyle name="Euro" xfId="884"/>
    <cellStyle name="Euro Millions" xfId="885"/>
    <cellStyle name="Euro_Bertelsmann_with Ratings Adj vs.2" xfId="886"/>
    <cellStyle name="Euros No Decimal" xfId="887"/>
    <cellStyle name="Euros One Decimal" xfId="888"/>
    <cellStyle name="EY House" xfId="889"/>
    <cellStyle name="EY%colcalc" xfId="890"/>
    <cellStyle name="EY%input" xfId="891"/>
    <cellStyle name="EY%rowcalc" xfId="892"/>
    <cellStyle name="EY0dp" xfId="893"/>
    <cellStyle name="EY1dp" xfId="894"/>
    <cellStyle name="EY2dp" xfId="895"/>
    <cellStyle name="EY3dp" xfId="896"/>
    <cellStyle name="EYColumnHeading" xfId="897"/>
    <cellStyle name="EYHeading1" xfId="898"/>
    <cellStyle name="EYheading2" xfId="899"/>
    <cellStyle name="EYheading3" xfId="900"/>
    <cellStyle name="EYnumber" xfId="901"/>
    <cellStyle name="EYSheetHeader1" xfId="902"/>
    <cellStyle name="EYtext" xfId="903"/>
    <cellStyle name="fact" xfId="904"/>
    <cellStyle name="Fijo" xfId="905"/>
    <cellStyle name="Financiero" xfId="906"/>
    <cellStyle name="Fixed" xfId="907"/>
    <cellStyle name="Fixed [0]" xfId="908"/>
    <cellStyle name="Fixed_Bertelsmann_with Ratings Adj vs.2" xfId="909"/>
    <cellStyle name="Footer SBILogo1" xfId="910"/>
    <cellStyle name="Footer SBILogo2" xfId="911"/>
    <cellStyle name="Footnote" xfId="912"/>
    <cellStyle name="Footnote Reference" xfId="913"/>
    <cellStyle name="Footnote_comments" xfId="914"/>
    <cellStyle name="Fraction" xfId="915"/>
    <cellStyle name="Fraction [8]" xfId="916"/>
    <cellStyle name="Fraction [Bl]" xfId="917"/>
    <cellStyle name="Fraction_Feeder" xfId="918"/>
    <cellStyle name="General" xfId="919"/>
    <cellStyle name="General [C]" xfId="920"/>
    <cellStyle name="General [R]" xfId="921"/>
    <cellStyle name="Global" xfId="922"/>
    <cellStyle name="Grey" xfId="923"/>
    <cellStyle name="GrowthRate" xfId="924"/>
    <cellStyle name="GrowthSeq" xfId="925"/>
    <cellStyle name="H Acct 1" xfId="926"/>
    <cellStyle name="H Acct 1,$" xfId="927"/>
    <cellStyle name="haeding 2" xfId="928"/>
    <cellStyle name="hard" xfId="929"/>
    <cellStyle name="Hard code" xfId="930"/>
    <cellStyle name="Hard code %" xfId="931"/>
    <cellStyle name="Hard code_5y FVebitda" xfId="932"/>
    <cellStyle name="Hard nb" xfId="933"/>
    <cellStyle name="hard no" xfId="934"/>
    <cellStyle name="hard no." xfId="935"/>
    <cellStyle name="Hard Percent" xfId="936"/>
    <cellStyle name="hard_5y FVebitda" xfId="937"/>
    <cellStyle name="Hardcoded" xfId="938"/>
    <cellStyle name="head1" xfId="939"/>
    <cellStyle name="head2" xfId="940"/>
    <cellStyle name="Header" xfId="941"/>
    <cellStyle name="Header Draft Stamp" xfId="942"/>
    <cellStyle name="Header_LBO" xfId="943"/>
    <cellStyle name="Header1" xfId="944"/>
    <cellStyle name="Header2" xfId="945"/>
    <cellStyle name="Heading" xfId="946"/>
    <cellStyle name="Heading 1 Above" xfId="947"/>
    <cellStyle name="Heading 1+" xfId="948"/>
    <cellStyle name="Heading 2 Below" xfId="949"/>
    <cellStyle name="Heading 2+" xfId="950"/>
    <cellStyle name="Heading 3+" xfId="951"/>
    <cellStyle name="Heading 5" xfId="952"/>
    <cellStyle name="Heading1" xfId="953"/>
    <cellStyle name="Heading2" xfId="954"/>
    <cellStyle name="Heading3" xfId="955"/>
    <cellStyle name="Hidden" xfId="956"/>
    <cellStyle name="hide" xfId="957"/>
    <cellStyle name="Highlight" xfId="958"/>
    <cellStyle name="Hist_perc" xfId="959"/>
    <cellStyle name="Historic" xfId="960"/>
    <cellStyle name="historical #" xfId="961"/>
    <cellStyle name="historical %" xfId="962"/>
    <cellStyle name="ht" xfId="963"/>
    <cellStyle name="IBESInput" xfId="964"/>
    <cellStyle name="Imput" xfId="965"/>
    <cellStyle name="IncomeStatement" xfId="966"/>
    <cellStyle name="Indented [0]" xfId="967"/>
    <cellStyle name="Indented [2]" xfId="968"/>
    <cellStyle name="Indented [4]" xfId="969"/>
    <cellStyle name="Indented [6]" xfId="970"/>
    <cellStyle name="inpt" xfId="971"/>
    <cellStyle name="Input %" xfId="972"/>
    <cellStyle name="Input % (1dp)" xfId="973"/>
    <cellStyle name="Input [yellow]" xfId="974"/>
    <cellStyle name="Input 0" xfId="975"/>
    <cellStyle name="Input 0,0" xfId="976"/>
    <cellStyle name="Input comma" xfId="977"/>
    <cellStyle name="Input Currency" xfId="978"/>
    <cellStyle name="Input Date" xfId="979"/>
    <cellStyle name="Input Fixed [0]" xfId="980"/>
    <cellStyle name="Input Link" xfId="981"/>
    <cellStyle name="Input multiple" xfId="982"/>
    <cellStyle name="Input Normal" xfId="983"/>
    <cellStyle name="Input number (0dp)" xfId="984"/>
    <cellStyle name="Input number (1dp)" xfId="985"/>
    <cellStyle name="Input Number Normal" xfId="986"/>
    <cellStyle name="Input Percent" xfId="987"/>
    <cellStyle name="Input Percent [2]" xfId="988"/>
    <cellStyle name="Input Percent_Bertelsmann_with Ratings Adj vs.2" xfId="989"/>
    <cellStyle name="Input Titles" xfId="990"/>
    <cellStyle name="Input$" xfId="991"/>
    <cellStyle name="Input%" xfId="992"/>
    <cellStyle name="Input0dec" xfId="993"/>
    <cellStyle name="Input2dec" xfId="994"/>
    <cellStyle name="InputBlueFont" xfId="995"/>
    <cellStyle name="InputBlueFontLocked" xfId="996"/>
    <cellStyle name="InputCurrency" xfId="997"/>
    <cellStyle name="InputCurrency2" xfId="998"/>
    <cellStyle name="InputDate" xfId="999"/>
    <cellStyle name="InputHead" xfId="1000"/>
    <cellStyle name="InputMultiple1" xfId="1001"/>
    <cellStyle name="InputPercent" xfId="1002"/>
    <cellStyle name="InputPercent1" xfId="1003"/>
    <cellStyle name="InputPop" xfId="1004"/>
    <cellStyle name="Integer" xfId="1005"/>
    <cellStyle name="Item" xfId="1006"/>
    <cellStyle name="ItemTypeClass" xfId="1007"/>
    <cellStyle name="Komma [0]_laroux" xfId="1008"/>
    <cellStyle name="Komma_laroux" xfId="1009"/>
    <cellStyle name="KPMG Heading 1" xfId="1010"/>
    <cellStyle name="KPMG Heading 2" xfId="1011"/>
    <cellStyle name="KPMG Heading 3" xfId="1012"/>
    <cellStyle name="KPMG Heading 4" xfId="1013"/>
    <cellStyle name="KPMG Normal" xfId="1014"/>
    <cellStyle name="KPMG Normal Text" xfId="1015"/>
    <cellStyle name="ligne_detail" xfId="1016"/>
    <cellStyle name="Line" xfId="1017"/>
    <cellStyle name="Link" xfId="1018"/>
    <cellStyle name="Link Currency (0)" xfId="1019"/>
    <cellStyle name="Link Currency (2)" xfId="1020"/>
    <cellStyle name="Link Units (0)" xfId="1021"/>
    <cellStyle name="Link Units (1)" xfId="1022"/>
    <cellStyle name="Link Units (2)" xfId="1023"/>
    <cellStyle name="Locked" xfId="1024"/>
    <cellStyle name="lpt" xfId="1025"/>
    <cellStyle name="lspt" xfId="1026"/>
    <cellStyle name="m" xfId="1027"/>
    <cellStyle name="m/d/yy" xfId="1028"/>
    <cellStyle name="m1" xfId="1029"/>
    <cellStyle name="Main item" xfId="1030"/>
    <cellStyle name="Main Title" xfId="1031"/>
    <cellStyle name="Margins" xfId="1032"/>
    <cellStyle name="Migliaia (0)" xfId="1033"/>
    <cellStyle name="Migliaia_AdR prelim valuation 010130 base case Ver5 Final" xfId="1034"/>
    <cellStyle name="Milliers [0]_AR1194" xfId="1035"/>
    <cellStyle name="Milliers_AR1194" xfId="1036"/>
    <cellStyle name="million" xfId="1037"/>
    <cellStyle name="million [1]" xfId="1038"/>
    <cellStyle name="million_DCF" xfId="1039"/>
    <cellStyle name="millions" xfId="1040"/>
    <cellStyle name="MLComma0" xfId="1041"/>
    <cellStyle name="MLDollar0" xfId="1042"/>
    <cellStyle name="MLEuro0" xfId="1043"/>
    <cellStyle name="MLMultiple0" xfId="1044"/>
    <cellStyle name="MLPercent0" xfId="1045"/>
    <cellStyle name="MLPound0" xfId="1046"/>
    <cellStyle name="MLYen0" xfId="1047"/>
    <cellStyle name="mod1" xfId="1048"/>
    <cellStyle name="model" xfId="1049"/>
    <cellStyle name="modelo1" xfId="1050"/>
    <cellStyle name="Monétaire [0]_AR1194" xfId="1051"/>
    <cellStyle name="Monétaire_AR1194" xfId="1052"/>
    <cellStyle name="Monetario" xfId="1053"/>
    <cellStyle name="Money" xfId="1054"/>
    <cellStyle name="month" xfId="1055"/>
    <cellStyle name="MonthYears" xfId="1056"/>
    <cellStyle name="Morgan" xfId="1057"/>
    <cellStyle name="Multiple" xfId="1058"/>
    <cellStyle name="Multiple [0]" xfId="1059"/>
    <cellStyle name="Multiple [1]" xfId="1060"/>
    <cellStyle name="Multiple_detailed bank case 21 3 05" xfId="1061"/>
    <cellStyle name="Multiple1" xfId="1062"/>
    <cellStyle name="MultipleBelow" xfId="1063"/>
    <cellStyle name="MultipleDouble" xfId="1064"/>
    <cellStyle name="MultipleInput" xfId="1065"/>
    <cellStyle name="Multiples1" xfId="1066"/>
    <cellStyle name="n0" xfId="1067"/>
    <cellStyle name="n1" xfId="1068"/>
    <cellStyle name="n2" xfId="1069"/>
    <cellStyle name="NA is zero" xfId="1070"/>
    <cellStyle name="Name" xfId="1071"/>
    <cellStyle name="NivelFila_2_Consejo2001" xfId="1072"/>
    <cellStyle name="No Border" xfId="1073"/>
    <cellStyle name="no dec" xfId="1074"/>
    <cellStyle name="No Decimal" xfId="1075"/>
    <cellStyle name="No.s to 1dp" xfId="1076"/>
    <cellStyle name="NORAYAS" xfId="1077"/>
    <cellStyle name="Norm" xfId="1078"/>
    <cellStyle name="norma;l" xfId="1079"/>
    <cellStyle name="Normal--" xfId="1080"/>
    <cellStyle name="Normal - Style1" xfId="1081"/>
    <cellStyle name="Normal (no,)" xfId="1082"/>
    <cellStyle name="Normal [0]" xfId="1083"/>
    <cellStyle name="Normal [1]" xfId="1084"/>
    <cellStyle name="Normal [2]" xfId="1085"/>
    <cellStyle name="Normal [3]" xfId="1086"/>
    <cellStyle name="normal [zero]" xfId="1087"/>
    <cellStyle name="Normal Bold" xfId="1088"/>
    <cellStyle name="Normal Italics" xfId="1089"/>
    <cellStyle name="Normal Pct" xfId="1090"/>
    <cellStyle name="Normal%Input" xfId="1091"/>
    <cellStyle name="normal;" xfId="1092"/>
    <cellStyle name="Normal2" xfId="1093"/>
    <cellStyle name="NormalBold" xfId="1094"/>
    <cellStyle name="NormalE" xfId="1095"/>
    <cellStyle name="NormalGB" xfId="1096"/>
    <cellStyle name="NormalMultiple" xfId="1097"/>
    <cellStyle name="NormalNumber" xfId="1098"/>
    <cellStyle name="Normalny_LTP2001 MIS (1) " xfId="1099"/>
    <cellStyle name="NormalPerso" xfId="1100"/>
    <cellStyle name="Normalx" xfId="1101"/>
    <cellStyle name="NormalxShadow" xfId="1102"/>
    <cellStyle name="Notes" xfId="1103"/>
    <cellStyle name="NPPESalesPct" xfId="1104"/>
    <cellStyle name="Number" xfId="1105"/>
    <cellStyle name="Number [0]" xfId="1106"/>
    <cellStyle name="Number_M&amp;A Model" xfId="1107"/>
    <cellStyle name="NWI%S" xfId="1108"/>
    <cellStyle name="Œ…‹æØ‚è [0.00]_GE 3 MINIMUM" xfId="1109"/>
    <cellStyle name="Œ…‹æØ‚è_GE 3 MINIMUM" xfId="1110"/>
    <cellStyle name="One Decimal" xfId="1111"/>
    <cellStyle name="onedec" xfId="1112"/>
    <cellStyle name="Option" xfId="1113"/>
    <cellStyle name="outh America" xfId="1114"/>
    <cellStyle name="Output (0dp#)" xfId="1115"/>
    <cellStyle name="Output (0dp%)" xfId="1116"/>
    <cellStyle name="Output (1dp#)" xfId="1117"/>
    <cellStyle name="Output (1dp%)" xfId="1118"/>
    <cellStyle name="Output (1dpx)" xfId="1119"/>
    <cellStyle name="Output (2dp#)" xfId="1120"/>
    <cellStyle name="Output Labels" xfId="1121"/>
    <cellStyle name="OutputPct" xfId="1122"/>
    <cellStyle name="Outputs (Locked)" xfId="1123"/>
    <cellStyle name="OVER" xfId="1124"/>
    <cellStyle name="p" xfId="1125"/>
    <cellStyle name="P&amp;L Numbers" xfId="1126"/>
    <cellStyle name="p_DCF" xfId="1127"/>
    <cellStyle name="p_DCF_M&amp;A Model" xfId="1128"/>
    <cellStyle name="p_DCF_SHIT" xfId="1129"/>
    <cellStyle name="p_DCF_SHIT_M&amp;A Model" xfId="1130"/>
    <cellStyle name="p_DCF_VERA_2" xfId="1131"/>
    <cellStyle name="p_DCF_VERA_2_M&amp;A Model" xfId="1132"/>
    <cellStyle name="p_M&amp;A Model" xfId="1133"/>
    <cellStyle name="p_M&amp;A projections" xfId="1134"/>
    <cellStyle name="p_SHIT" xfId="1135"/>
    <cellStyle name="p_SHIT_M&amp;A Model" xfId="1136"/>
    <cellStyle name="p_VERA" xfId="1137"/>
    <cellStyle name="p_VERA_1" xfId="1138"/>
    <cellStyle name="p_VERA_1_M&amp;A Model" xfId="1139"/>
    <cellStyle name="p_VERA_2" xfId="1140"/>
    <cellStyle name="p_VERA_2_M&amp;A Model" xfId="1141"/>
    <cellStyle name="p_xMidcap4_24" xfId="1142"/>
    <cellStyle name="p_xMidcap4_24_M&amp;A Model" xfId="1143"/>
    <cellStyle name="p1" xfId="1144"/>
    <cellStyle name="Page break" xfId="1145"/>
    <cellStyle name="Page Heading" xfId="1146"/>
    <cellStyle name="Page Heading Large" xfId="1147"/>
    <cellStyle name="Page Heading Small" xfId="1148"/>
    <cellStyle name="Page Number" xfId="1149"/>
    <cellStyle name="Pattern" xfId="1150"/>
    <cellStyle name="patterns" xfId="1151"/>
    <cellStyle name="pc1" xfId="1152"/>
    <cellStyle name="pcent" xfId="1153"/>
    <cellStyle name="Pct 1" xfId="1154"/>
    <cellStyle name="pct_sub" xfId="1155"/>
    <cellStyle name="Pctdec1itals" xfId="1156"/>
    <cellStyle name="pd" xfId="1157"/>
    <cellStyle name="pe" xfId="1158"/>
    <cellStyle name="Pence" xfId="1159"/>
    <cellStyle name="pence [0]" xfId="1160"/>
    <cellStyle name="pence [1]" xfId="1161"/>
    <cellStyle name="pence_DCF" xfId="1162"/>
    <cellStyle name="per" xfId="1163"/>
    <cellStyle name="percemt" xfId="1164"/>
    <cellStyle name="Percent (0.0)" xfId="1165"/>
    <cellStyle name="Percent (0.00)" xfId="1166"/>
    <cellStyle name="Percent (1)" xfId="1167"/>
    <cellStyle name="Percent [0]" xfId="1168"/>
    <cellStyle name="Percent [0] Total" xfId="1169"/>
    <cellStyle name="Percent [0]_comparison" xfId="1170"/>
    <cellStyle name="Percent [00]" xfId="1171"/>
    <cellStyle name="Percent [1]" xfId="1172"/>
    <cellStyle name="percent [1-]" xfId="1173"/>
    <cellStyle name="Percent [1] --" xfId="1174"/>
    <cellStyle name="Percent [1] Total" xfId="1175"/>
    <cellStyle name="Percent [1]_Base acqfin hybrid model_S3" xfId="1176"/>
    <cellStyle name="percent [100]" xfId="1177"/>
    <cellStyle name="Percent [2]" xfId="1178"/>
    <cellStyle name="Percent [2] Total" xfId="1179"/>
    <cellStyle name="Percent [2]_57 Project Fly (2)" xfId="1180"/>
    <cellStyle name="Percent [3]" xfId="1181"/>
    <cellStyle name="Percent [3]--" xfId="1182"/>
    <cellStyle name="Percent [4]" xfId="1183"/>
    <cellStyle name="Percent 0" xfId="1184"/>
    <cellStyle name="Percent 0.00" xfId="1185"/>
    <cellStyle name="Percent Comma" xfId="1186"/>
    <cellStyle name="percent har" xfId="1187"/>
    <cellStyle name="Percent Hard" xfId="1188"/>
    <cellStyle name="Percent Input" xfId="1189"/>
    <cellStyle name="Percent SuppCalc (0.0)" xfId="1190"/>
    <cellStyle name="Percent SuppCalc Input (0.0)" xfId="1191"/>
    <cellStyle name="Percent*" xfId="1192"/>
    <cellStyle name="Percent1" xfId="1193"/>
    <cellStyle name="Percent1Blue" xfId="1194"/>
    <cellStyle name="Percent2" xfId="1195"/>
    <cellStyle name="Percent2Blue" xfId="1196"/>
    <cellStyle name="Percentage" xfId="1197"/>
    <cellStyle name="PercentChange" xfId="1198"/>
    <cellStyle name="PercentPerso" xfId="1199"/>
    <cellStyle name="PercentPresentation" xfId="1200"/>
    <cellStyle name="PercentSales" xfId="1201"/>
    <cellStyle name="Percentuale_AAON_summary_Kevin" xfId="1202"/>
    <cellStyle name="percnet" xfId="1203"/>
    <cellStyle name="perecent" xfId="1204"/>
    <cellStyle name="Period" xfId="1205"/>
    <cellStyle name="Perlong" xfId="1206"/>
    <cellStyle name="PerShare" xfId="1207"/>
    <cellStyle name="pf" xfId="1208"/>
    <cellStyle name="PLAN1" xfId="1209"/>
    <cellStyle name="POPS" xfId="1210"/>
    <cellStyle name="Porcentaje" xfId="1211"/>
    <cellStyle name="Porcentual_CAPEX_Acea_Alcatel_2505" xfId="1212"/>
    <cellStyle name="Pound" xfId="1213"/>
    <cellStyle name="Pound [1]" xfId="1214"/>
    <cellStyle name="Pound [2]" xfId="1215"/>
    <cellStyle name="Pounds No Decimal" xfId="1216"/>
    <cellStyle name="Pounds Total 2" xfId="1217"/>
    <cellStyle name="pp" xfId="1218"/>
    <cellStyle name="ppp" xfId="1219"/>
    <cellStyle name="PrePop Currency (0)" xfId="1220"/>
    <cellStyle name="PrePop Currency (2)" xfId="1221"/>
    <cellStyle name="PrePop Units (0)" xfId="1222"/>
    <cellStyle name="PrePop Units (1)" xfId="1223"/>
    <cellStyle name="PrePop Units (2)" xfId="1224"/>
    <cellStyle name="Presentation" xfId="1225"/>
    <cellStyle name="PresentationZero" xfId="1226"/>
    <cellStyle name="Price" xfId="1227"/>
    <cellStyle name="Private" xfId="1228"/>
    <cellStyle name="Private1" xfId="1229"/>
    <cellStyle name="Profit figure" xfId="1230"/>
    <cellStyle name="Proj" xfId="1231"/>
    <cellStyle name="pt" xfId="1232"/>
    <cellStyle name="ptit" xfId="1233"/>
    <cellStyle name="r" xfId="1234"/>
    <cellStyle name="Range" xfId="1235"/>
    <cellStyle name="rat" xfId="1236"/>
    <cellStyle name="rate" xfId="1237"/>
    <cellStyle name="Ratio" xfId="1238"/>
    <cellStyle name="Ratio Comma" xfId="1239"/>
    <cellStyle name="Ratio_57 Project Fly (2)" xfId="1240"/>
    <cellStyle name="RatioX" xfId="1241"/>
    <cellStyle name="red" xfId="1242"/>
    <cellStyle name="Red Box" xfId="1243"/>
    <cellStyle name="Red font" xfId="1244"/>
    <cellStyle name="Red Text" xfId="1245"/>
    <cellStyle name="Report" xfId="1246"/>
    <cellStyle name="Results % 0 dp" xfId="1247"/>
    <cellStyle name="Results % 1 dp" xfId="1248"/>
    <cellStyle name="Results % 2 dp" xfId="1249"/>
    <cellStyle name="Results % 3 dp" xfId="1250"/>
    <cellStyle name="Results 0 dp" xfId="1251"/>
    <cellStyle name="Results 1 dp" xfId="1252"/>
    <cellStyle name="Results 2 dp" xfId="1253"/>
    <cellStyle name="Results 3 dp" xfId="1254"/>
    <cellStyle name="Results x 1 dp" xfId="1255"/>
    <cellStyle name="Results x 2 dp" xfId="1256"/>
    <cellStyle name="Right" xfId="1257"/>
    <cellStyle name="Rounding" xfId="1258"/>
    <cellStyle name="Row Heading" xfId="1259"/>
    <cellStyle name="Row Headings" xfId="1260"/>
    <cellStyle name="Row Title 1" xfId="1261"/>
    <cellStyle name="Row Title 2" xfId="1262"/>
    <cellStyle name="Row Title 3" xfId="1263"/>
    <cellStyle name="Row Total" xfId="1264"/>
    <cellStyle name="RowHead" xfId="1265"/>
    <cellStyle name="RowHeading" xfId="1266"/>
    <cellStyle name="s" xfId="1267"/>
    <cellStyle name="s_Accretion (2)" xfId="1268"/>
    <cellStyle name="s_Accretion (2)_1" xfId="1269"/>
    <cellStyle name="s_Accretion (2)_2" xfId="1270"/>
    <cellStyle name="s_ad3" xfId="1271"/>
    <cellStyle name="s_ad3_1" xfId="1272"/>
    <cellStyle name="s_ad3_2" xfId="1273"/>
    <cellStyle name="s_ad5" xfId="1274"/>
    <cellStyle name="s_ad5_1" xfId="1275"/>
    <cellStyle name="s_AdditionalPrint Code" xfId="1276"/>
    <cellStyle name="s_AdditionalPrint Code_1" xfId="1277"/>
    <cellStyle name="s_asko1" xfId="1278"/>
    <cellStyle name="s_asko1_1" xfId="1279"/>
    <cellStyle name="s_Assumptions" xfId="1280"/>
    <cellStyle name="s_B_S_Ratios _B" xfId="1281"/>
    <cellStyle name="s_B_S_Ratios_T" xfId="1282"/>
    <cellStyle name="s_Bal Sheets (2)" xfId="1283"/>
    <cellStyle name="s_Bal Sheets (2)_1" xfId="1284"/>
    <cellStyle name="s_Bal Sheets (2)_2" xfId="1285"/>
    <cellStyle name="s_btr_2" xfId="1286"/>
    <cellStyle name="s_btr_2_1" xfId="1287"/>
    <cellStyle name="s_btr_2_2" xfId="1288"/>
    <cellStyle name="s_btr_3" xfId="1289"/>
    <cellStyle name="s_btr_3_1" xfId="1290"/>
    <cellStyle name="s_Bullet model 122" xfId="1291"/>
    <cellStyle name="s_Buy Back Model_adapted" xfId="1292"/>
    <cellStyle name="s_Cases (2)" xfId="1293"/>
    <cellStyle name="s_Cases (2)_1" xfId="1294"/>
    <cellStyle name="s_Cases (2)_1_M&amp;A Model" xfId="1295"/>
    <cellStyle name="s_Cases (2)_1_M&amp;A projections" xfId="1296"/>
    <cellStyle name="s_Cases (2)_2" xfId="1297"/>
    <cellStyle name="s_Cases (2)_M&amp;A Model" xfId="1298"/>
    <cellStyle name="s_Cases (2)_M&amp;A projections" xfId="1299"/>
    <cellStyle name="s_Cases (3)" xfId="1300"/>
    <cellStyle name="s_Cases (3)_1" xfId="1301"/>
    <cellStyle name="s_Cases (3)_2" xfId="1302"/>
    <cellStyle name="s_Cases (4)" xfId="1303"/>
    <cellStyle name="s_Cases (4)_1" xfId="1304"/>
    <cellStyle name="s_Crown" xfId="1305"/>
    <cellStyle name="s_Crown_1" xfId="1306"/>
    <cellStyle name="s_Crown_2" xfId="1307"/>
    <cellStyle name="s_dccmod1" xfId="1308"/>
    <cellStyle name="s_dccmod1_1" xfId="1309"/>
    <cellStyle name="s_dccmod1_2" xfId="1310"/>
    <cellStyle name="s_dcf" xfId="1311"/>
    <cellStyle name="s_DCF Matrix (2)" xfId="1312"/>
    <cellStyle name="s_DCF Matrix (2)_1" xfId="1313"/>
    <cellStyle name="s_DCF Matrix (3)" xfId="1314"/>
    <cellStyle name="s_DCF Matrix (3)_1" xfId="1315"/>
    <cellStyle name="s_DCF Matrix (4)" xfId="1316"/>
    <cellStyle name="s_DCF Matrix (4)_1" xfId="1317"/>
    <cellStyle name="s_DCF Matrix (4)_2" xfId="1318"/>
    <cellStyle name="s_dcf_1" xfId="1319"/>
    <cellStyle name="s_DCFLBO Code" xfId="1320"/>
    <cellStyle name="s_DCFLBO Code_1" xfId="1321"/>
    <cellStyle name="s_Definc_dcf_Industries_270301_ma" xfId="1322"/>
    <cellStyle name="s_Dilution" xfId="1323"/>
    <cellStyle name="s_DMPR Sale (2)" xfId="1324"/>
    <cellStyle name="s_Earnings (2)" xfId="1325"/>
    <cellStyle name="s_Earnings (2)_1" xfId="1326"/>
    <cellStyle name="s_Earnings (2)_1_M&amp;A Model" xfId="1327"/>
    <cellStyle name="s_Earnings (2)_1_M&amp;A projections" xfId="1328"/>
    <cellStyle name="s_Earnings (2)_2" xfId="1329"/>
    <cellStyle name="s_Earnings (2)_2_M&amp;A Model" xfId="1330"/>
    <cellStyle name="s_Earnings (2)_2_M&amp;A projections" xfId="1331"/>
    <cellStyle name="s_Earnings (2)_M&amp;A Model" xfId="1332"/>
    <cellStyle name="s_Earnings (2)_M&amp;A projections" xfId="1333"/>
    <cellStyle name="s_Earn-out (2)" xfId="1334"/>
    <cellStyle name="s_Earn-out (2)_1" xfId="1335"/>
    <cellStyle name="s_Euro 2 (2)" xfId="1336"/>
    <cellStyle name="s_Euro 2 (2)_1" xfId="1337"/>
    <cellStyle name="s_Euro PICS (2)" xfId="1338"/>
    <cellStyle name="s_Euro PICS (2)_1" xfId="1339"/>
    <cellStyle name="s_Euro PICS (3)" xfId="1340"/>
    <cellStyle name="s_Euro PICS (3)_1" xfId="1341"/>
    <cellStyle name="s_Europe (2)" xfId="1342"/>
    <cellStyle name="s_Europe (2)_1" xfId="1343"/>
    <cellStyle name="s_Europe (2)_2" xfId="1344"/>
    <cellStyle name="s_Final Model2" xfId="1345"/>
    <cellStyle name="s_Final Model2_1" xfId="1346"/>
    <cellStyle name="s_FINALWOOLMODEL" xfId="1347"/>
    <cellStyle name="s_Financials_B" xfId="1348"/>
    <cellStyle name="s_Financials_T" xfId="1349"/>
    <cellStyle name="s_Grandvision_LBO2" xfId="1350"/>
    <cellStyle name="s_Grouse+Pelican" xfId="1351"/>
    <cellStyle name="s_Hist Inputs (2)" xfId="1352"/>
    <cellStyle name="s_Hist Inputs (2)_1" xfId="1353"/>
    <cellStyle name="s_Hist Inputs (3)" xfId="1354"/>
    <cellStyle name="s_Hist Inputs (3)_1" xfId="1355"/>
    <cellStyle name="s_Hist Inputs (4)" xfId="1356"/>
    <cellStyle name="s_Hist Inputs (4)_1" xfId="1357"/>
    <cellStyle name="s_LBO" xfId="1358"/>
    <cellStyle name="s_LBO IRR (2)" xfId="1359"/>
    <cellStyle name="s_LBO IRR (2)_1" xfId="1360"/>
    <cellStyle name="s_LBO Sens (2)" xfId="1361"/>
    <cellStyle name="s_LBO Sens (2)_1" xfId="1362"/>
    <cellStyle name="s_LBO Sens (2)_2" xfId="1363"/>
    <cellStyle name="s_LBO Summary (2)" xfId="1364"/>
    <cellStyle name="s_LBO Summary (2)_1" xfId="1365"/>
    <cellStyle name="s_LBO_1" xfId="1366"/>
    <cellStyle name="s_LBO_2" xfId="1367"/>
    <cellStyle name="s_lbo1" xfId="1368"/>
    <cellStyle name="s_lbo1_1" xfId="1369"/>
    <cellStyle name="s_lbo1_2" xfId="1370"/>
    <cellStyle name="s_lbo3" xfId="1371"/>
    <cellStyle name="s_lbo3_1" xfId="1372"/>
    <cellStyle name="s_LBO5" xfId="1373"/>
    <cellStyle name="s_LBO5_1" xfId="1374"/>
    <cellStyle name="s_M&amp;A Model" xfId="1375"/>
    <cellStyle name="s_M&amp;A projections" xfId="1376"/>
    <cellStyle name="s_MainPrint Code" xfId="1377"/>
    <cellStyle name="s_MainPrint Code_1" xfId="1378"/>
    <cellStyle name="s_Matrix_B" xfId="1379"/>
    <cellStyle name="s_Matrix_T" xfId="1380"/>
    <cellStyle name="s_Merger" xfId="1381"/>
    <cellStyle name="s_mod14" xfId="1382"/>
    <cellStyle name="s_mod14_1" xfId="1383"/>
    <cellStyle name="s_mod7" xfId="1384"/>
    <cellStyle name="s_mod7_1" xfId="1385"/>
    <cellStyle name="s_mod9" xfId="1386"/>
    <cellStyle name="s_mod9_1" xfId="1387"/>
    <cellStyle name="s_model1" xfId="1388"/>
    <cellStyle name="s_model1_1" xfId="1389"/>
    <cellStyle name="s_model1_2" xfId="1390"/>
    <cellStyle name="s_model19" xfId="1391"/>
    <cellStyle name="s_model19_1" xfId="1392"/>
    <cellStyle name="s_model2" xfId="1393"/>
    <cellStyle name="s_model6" xfId="1394"/>
    <cellStyle name="s_model6_1" xfId="1395"/>
    <cellStyle name="s_model6_2" xfId="1396"/>
    <cellStyle name="s_NOL (2)" xfId="1397"/>
    <cellStyle name="s_NOL (2)_1" xfId="1398"/>
    <cellStyle name="s_NOL (2)_2" xfId="1399"/>
    <cellStyle name="s_P_L_Ratios" xfId="1400"/>
    <cellStyle name="s_P_L_Ratios_B" xfId="1401"/>
    <cellStyle name="s_Paint 18 - MC" xfId="1402"/>
    <cellStyle name="s_PFMA Cap (2)" xfId="1403"/>
    <cellStyle name="s_PFMA Cap (2)_1" xfId="1404"/>
    <cellStyle name="s_PFMA Cap (2)_2" xfId="1405"/>
    <cellStyle name="s_PFMA Credit (2)" xfId="1406"/>
    <cellStyle name="s_PFMA Credit (2)_1" xfId="1407"/>
    <cellStyle name="s_RECESSA" xfId="1408"/>
    <cellStyle name="s_RECESSA_1" xfId="1409"/>
    <cellStyle name="s_Restructuring (2)" xfId="1410"/>
    <cellStyle name="s_Restructuring (2)_1" xfId="1411"/>
    <cellStyle name="s_Restructuring (2)_2" xfId="1412"/>
    <cellStyle name="s_Revised" xfId="1413"/>
    <cellStyle name="s_S_By_S" xfId="1414"/>
    <cellStyle name="s_saft_1" xfId="1415"/>
    <cellStyle name="s_saft_1_2" xfId="1416"/>
    <cellStyle name="s_Schedules (2)" xfId="1417"/>
    <cellStyle name="s_Schedules (2)_1" xfId="1418"/>
    <cellStyle name="s_Schedules (2)_2" xfId="1419"/>
    <cellStyle name="s_Sheet5" xfId="1420"/>
    <cellStyle name="s_Standalone (2)" xfId="1421"/>
    <cellStyle name="s_Standalone (2)_1" xfId="1422"/>
    <cellStyle name="s_Standalone (2)_2" xfId="1423"/>
    <cellStyle name="s_Trading Val Calc (2)" xfId="1424"/>
    <cellStyle name="s_Trading Val Calc (2)_1" xfId="1425"/>
    <cellStyle name="s_Val Sum (2)" xfId="1426"/>
    <cellStyle name="s_Val Sum (2)_1" xfId="1427"/>
    <cellStyle name="s_Val Sum (2)_2" xfId="1428"/>
    <cellStyle name="s_Valuation " xfId="1429"/>
    <cellStyle name="s_WACC benchmarking" xfId="1430"/>
    <cellStyle name="s_West Ham (2)" xfId="1431"/>
    <cellStyle name="s_West Ham (2)_1" xfId="1432"/>
    <cellStyle name="s_West Ham (2)_2" xfId="1433"/>
    <cellStyle name="s_Westham (2)" xfId="1434"/>
    <cellStyle name="s_Westham (2)_1" xfId="1435"/>
    <cellStyle name="s_Westham (2)_2" xfId="1436"/>
    <cellStyle name="s_Wool_01_07_12_1999_1" xfId="1437"/>
    <cellStyle name="s_Wool_01_07_12_1999_2" xfId="1438"/>
    <cellStyle name="s_Wool_14_12_1999_2" xfId="1439"/>
    <cellStyle name="s_Wool_15_02_2000" xfId="1440"/>
    <cellStyle name="s_Wool_15_02_2000_1" xfId="1441"/>
    <cellStyle name="s_Wool_15_02_2000_2" xfId="1442"/>
    <cellStyle name="s_WoolEuro_12_04_2000_02_1" xfId="1443"/>
    <cellStyle name="s_WoolEuro_12_04_2000_02_2" xfId="1444"/>
    <cellStyle name="s_WoolEuro_17_03_2000_1" xfId="1445"/>
    <cellStyle name="s_WoolEuro_20_03_2000_3" xfId="1446"/>
    <cellStyle name="s_WoolEuroEx_14_04_2000_01" xfId="1447"/>
    <cellStyle name="s_WoolEuroEx_14_04_2000_01_1" xfId="1448"/>
    <cellStyle name="Salomon Logo" xfId="1449"/>
    <cellStyle name="same_prices" xfId="1450"/>
    <cellStyle name="SAPBEXaggData" xfId="1451"/>
    <cellStyle name="SAPBEXaggDataEmph" xfId="1452"/>
    <cellStyle name="SAPBEXaggExc1" xfId="1453"/>
    <cellStyle name="SAPBEXaggExc1Emph" xfId="1454"/>
    <cellStyle name="SAPBEXaggExc2" xfId="1455"/>
    <cellStyle name="SAPBEXaggExc2Emph" xfId="1456"/>
    <cellStyle name="SAPBEXaggItem" xfId="1457"/>
    <cellStyle name="SAPBEXchaText" xfId="1458"/>
    <cellStyle name="SAPBEXfilterDrill" xfId="1459"/>
    <cellStyle name="SAPBEXfilterItem" xfId="1460"/>
    <cellStyle name="SAPBEXfilterText" xfId="1461"/>
    <cellStyle name="SAPBEXformats" xfId="1462"/>
    <cellStyle name="SAPBEXheaderData" xfId="1463"/>
    <cellStyle name="SAPBEXheaderItem" xfId="1464"/>
    <cellStyle name="SAPBEXheaderText" xfId="1465"/>
    <cellStyle name="SAPBEXresData" xfId="1466"/>
    <cellStyle name="SAPBEXresDataEmph" xfId="1467"/>
    <cellStyle name="SAPBEXresExc1" xfId="1468"/>
    <cellStyle name="SAPBEXresExc1Emph" xfId="1469"/>
    <cellStyle name="SAPBEXresExc2" xfId="1470"/>
    <cellStyle name="SAPBEXresExc2Emph" xfId="1471"/>
    <cellStyle name="SAPBEXresItem" xfId="1472"/>
    <cellStyle name="SAPBEXstdData" xfId="1473"/>
    <cellStyle name="SAPBEXstdDataEmph" xfId="1474"/>
    <cellStyle name="SAPBEXstdExc1" xfId="1475"/>
    <cellStyle name="SAPBEXstdExc1Emph" xfId="1476"/>
    <cellStyle name="SAPBEXstdExc2" xfId="1477"/>
    <cellStyle name="SAPBEXstdExc2Emph" xfId="1478"/>
    <cellStyle name="SAPBEXstdItem" xfId="1479"/>
    <cellStyle name="SAPBEXsubData" xfId="1480"/>
    <cellStyle name="SAPBEXsubDataEmph" xfId="1481"/>
    <cellStyle name="SAPBEXsubExc1" xfId="1482"/>
    <cellStyle name="SAPBEXsubExc1Emph" xfId="1483"/>
    <cellStyle name="SAPBEXsubExc2" xfId="1484"/>
    <cellStyle name="SAPBEXsubExc2Emph" xfId="1485"/>
    <cellStyle name="SAPBEXsubItem" xfId="1486"/>
    <cellStyle name="SAPBEXtitle" xfId="1487"/>
    <cellStyle name="SAPBEXundefined" xfId="1488"/>
    <cellStyle name="SAPKey" xfId="1489"/>
    <cellStyle name="SAPLocked" xfId="1490"/>
    <cellStyle name="SAPOutput" xfId="1491"/>
    <cellStyle name="SAPSpace" xfId="1492"/>
    <cellStyle name="SAPText" xfId="1493"/>
    <cellStyle name="SAPUnLocked" xfId="1494"/>
    <cellStyle name="ScripFactor" xfId="1495"/>
    <cellStyle name="sd" xfId="1496"/>
    <cellStyle name="Section" xfId="1497"/>
    <cellStyle name="Section name" xfId="1498"/>
    <cellStyle name="Section Title" xfId="1499"/>
    <cellStyle name="Section_M&amp;A Model" xfId="1500"/>
    <cellStyle name="SectionHeading" xfId="1501"/>
    <cellStyle name="Separador de milhares [0]_planbrasil 1" xfId="1502"/>
    <cellStyle name="Separador de milhares_planbrasil 1" xfId="1503"/>
    <cellStyle name="sf" xfId="1504"/>
    <cellStyle name="sff" xfId="1505"/>
    <cellStyle name="Shaded" xfId="1506"/>
    <cellStyle name="Shading" xfId="1507"/>
    <cellStyle name="Shares" xfId="1508"/>
    <cellStyle name="Sheetmult" xfId="1509"/>
    <cellStyle name="Short Date" xfId="1510"/>
    <cellStyle name="Short Time" xfId="1511"/>
    <cellStyle name="Shtmultx" xfId="1512"/>
    <cellStyle name="Single Accounting" xfId="1513"/>
    <cellStyle name="Single Border" xfId="1514"/>
    <cellStyle name="Single Underline" xfId="1515"/>
    <cellStyle name="Small Number" xfId="1516"/>
    <cellStyle name="Small Page Heading" xfId="1517"/>
    <cellStyle name="Small Percentage" xfId="1518"/>
    <cellStyle name="Spreadsheet title" xfId="1519"/>
    <cellStyle name="spt" xfId="1520"/>
    <cellStyle name="ss" xfId="1521"/>
    <cellStyle name="ss0" xfId="1522"/>
    <cellStyle name="ss1" xfId="1523"/>
    <cellStyle name="ss2" xfId="1524"/>
    <cellStyle name="ssp " xfId="1525"/>
    <cellStyle name="st" xfId="1526"/>
    <cellStyle name="Standaard_balance" xfId="1527"/>
    <cellStyle name="Standard" xfId="1528"/>
    <cellStyle name="Standard Header" xfId="1529"/>
    <cellStyle name="Standard__Utopia Index Index und Guidance (Deutsch)" xfId="1530"/>
    <cellStyle name="Std_1" xfId="1531"/>
    <cellStyle name="Stock Comma" xfId="1532"/>
    <cellStyle name="Stock Price" xfId="1533"/>
    <cellStyle name="Strange" xfId="1534"/>
    <cellStyle name="Strictly confidential" xfId="1535"/>
    <cellStyle name="STYL1 - Style1" xfId="1536"/>
    <cellStyle name="Style 1" xfId="1537"/>
    <cellStyle name="Style 2" xfId="1538"/>
    <cellStyle name="Style 3" xfId="1539"/>
    <cellStyle name="Subhead" xfId="1540"/>
    <cellStyle name="Subheadbldun" xfId="1541"/>
    <cellStyle name="SubHeading" xfId="1542"/>
    <cellStyle name="SubHeading 1" xfId="1543"/>
    <cellStyle name="SubHeading 2" xfId="1544"/>
    <cellStyle name="SubHeading_57 Project Fly (2)" xfId="1545"/>
    <cellStyle name="SubsidTitle" xfId="1546"/>
    <cellStyle name="SubsubHead" xfId="1547"/>
    <cellStyle name="Subtitle" xfId="1548"/>
    <cellStyle name="Sub-titulo" xfId="1549"/>
    <cellStyle name="Sub-titulo 2" xfId="1550"/>
    <cellStyle name="Subtotal" xfId="1551"/>
    <cellStyle name="Sub-total" xfId="1552"/>
    <cellStyle name="Subtotal_left" xfId="1553"/>
    <cellStyle name="Summary" xfId="1554"/>
    <cellStyle name="Summe" xfId="1555"/>
    <cellStyle name="SuppCalc (0.0)" xfId="1556"/>
    <cellStyle name="SwitchA" xfId="1557"/>
    <cellStyle name="SwitchR" xfId="1558"/>
    <cellStyle name="t" xfId="1559"/>
    <cellStyle name="t#" xfId="1560"/>
    <cellStyle name="t%" xfId="1561"/>
    <cellStyle name="t_Ithaca_Options Outstanding_20051211" xfId="1562"/>
    <cellStyle name="t_Manager" xfId="1563"/>
    <cellStyle name="t_Valuation" xfId="1564"/>
    <cellStyle name="t_WACC benchmarking" xfId="1565"/>
    <cellStyle name="t1" xfId="1566"/>
    <cellStyle name="Table" xfId="1567"/>
    <cellStyle name="Table Col Head" xfId="1568"/>
    <cellStyle name="table column heading" xfId="1569"/>
    <cellStyle name="Table Head" xfId="1570"/>
    <cellStyle name="Table Head Aligned" xfId="1571"/>
    <cellStyle name="Table Head Blue" xfId="1572"/>
    <cellStyle name="Table Head Green" xfId="1573"/>
    <cellStyle name="Table Head__WACC analysis" xfId="1574"/>
    <cellStyle name="Table Heading" xfId="1575"/>
    <cellStyle name="Table Source" xfId="1576"/>
    <cellStyle name="Table Sub Head" xfId="1577"/>
    <cellStyle name="Table Sub Heading" xfId="1578"/>
    <cellStyle name="Table Text" xfId="1579"/>
    <cellStyle name="Table Title" xfId="1580"/>
    <cellStyle name="Table Units" xfId="1581"/>
    <cellStyle name="Table_Header" xfId="1582"/>
    <cellStyle name="TableBase" xfId="1583"/>
    <cellStyle name="TableColumnHeading" xfId="1584"/>
    <cellStyle name="TableFootnotes" xfId="1585"/>
    <cellStyle name="TableHead" xfId="1586"/>
    <cellStyle name="TableName" xfId="1587"/>
    <cellStyle name="TableSubTitleItalic" xfId="1588"/>
    <cellStyle name="TableText" xfId="1589"/>
    <cellStyle name="TableTitle" xfId="1590"/>
    <cellStyle name="TableTitleFormat" xfId="1591"/>
    <cellStyle name="Tag" xfId="1592"/>
    <cellStyle name="Test" xfId="1593"/>
    <cellStyle name="Test [green]" xfId="1594"/>
    <cellStyle name="Text" xfId="1595"/>
    <cellStyle name="Text [4]" xfId="1596"/>
    <cellStyle name="Text [8]" xfId="1597"/>
    <cellStyle name="Text [Bullet]" xfId="1598"/>
    <cellStyle name="Text [Dash]" xfId="1599"/>
    <cellStyle name="Text [Em-Dash]" xfId="1600"/>
    <cellStyle name="Text 1" xfId="1601"/>
    <cellStyle name="Text 2" xfId="1602"/>
    <cellStyle name="Text Head" xfId="1603"/>
    <cellStyle name="Text Head 1" xfId="1604"/>
    <cellStyle name="Text Head 2" xfId="1605"/>
    <cellStyle name="Text Indent 1" xfId="1606"/>
    <cellStyle name="Text Indent 2" xfId="1607"/>
    <cellStyle name="Text Indent A" xfId="1608"/>
    <cellStyle name="Text Indent B" xfId="1609"/>
    <cellStyle name="Text Indent C" xfId="1610"/>
    <cellStyle name="Text Wrap" xfId="1611"/>
    <cellStyle name="Text_comparison" xfId="1612"/>
    <cellStyle name="TFCF" xfId="1613"/>
    <cellStyle name="thousand" xfId="1614"/>
    <cellStyle name="threedecplace" xfId="1615"/>
    <cellStyle name="Tick" xfId="1616"/>
    <cellStyle name="time" xfId="1617"/>
    <cellStyle name="Time Strip" xfId="1618"/>
    <cellStyle name="Time_M&amp;A Model" xfId="1619"/>
    <cellStyle name="times" xfId="1620"/>
    <cellStyle name="Times [1]" xfId="1621"/>
    <cellStyle name="Times [1] Total" xfId="1622"/>
    <cellStyle name="Times [1]_GP_NEM_4" xfId="1623"/>
    <cellStyle name="Times [2]" xfId="1624"/>
    <cellStyle name="Times [2] Total" xfId="1625"/>
    <cellStyle name="Times [2]_GP_NEM_4" xfId="1626"/>
    <cellStyle name="Times [3]" xfId="1627"/>
    <cellStyle name="Times 10" xfId="1628"/>
    <cellStyle name="Times 12" xfId="1629"/>
    <cellStyle name="Times New Roman" xfId="1630"/>
    <cellStyle name="times_EXPN" xfId="1631"/>
    <cellStyle name="titel" xfId="1632"/>
    <cellStyle name="Title Heading" xfId="1633"/>
    <cellStyle name="Title II" xfId="1634"/>
    <cellStyle name="Title1" xfId="1635"/>
    <cellStyle name="Title2" xfId="1636"/>
    <cellStyle name="TitleII" xfId="1637"/>
    <cellStyle name="Titles" xfId="1638"/>
    <cellStyle name="Titles2" xfId="1639"/>
    <cellStyle name="TitleYear" xfId="1640"/>
    <cellStyle name="titre_col" xfId="1641"/>
    <cellStyle name="Titulo-Seccion" xfId="1642"/>
    <cellStyle name="tom" xfId="1643"/>
    <cellStyle name="Top Edge" xfId="1644"/>
    <cellStyle name="TopCaption" xfId="1645"/>
    <cellStyle name="Topline" xfId="1646"/>
    <cellStyle name="Totals" xfId="1647"/>
    <cellStyle name="Totals [0]" xfId="1648"/>
    <cellStyle name="Totals [2]" xfId="1649"/>
    <cellStyle name="Totals_57 Project Fly (2)" xfId="1650"/>
    <cellStyle name="trailing" xfId="1651"/>
    <cellStyle name="ts0" xfId="1652"/>
    <cellStyle name="ts1" xfId="1653"/>
    <cellStyle name="ts2" xfId="1654"/>
    <cellStyle name="u" xfId="1655"/>
    <cellStyle name="u_MD 1 model_blank_Augustin" xfId="1656"/>
    <cellStyle name="ubordinated Debt" xfId="1657"/>
    <cellStyle name="Undefiniert" xfId="1658"/>
    <cellStyle name="underline" xfId="1659"/>
    <cellStyle name="Underscore" xfId="1660"/>
    <cellStyle name="units" xfId="1661"/>
    <cellStyle name="Unprot" xfId="1662"/>
    <cellStyle name="Unprot$" xfId="1663"/>
    <cellStyle name="Unprotect" xfId="1664"/>
    <cellStyle name="User_Defined_A" xfId="1665"/>
    <cellStyle name="Valuta (0)" xfId="1666"/>
    <cellStyle name="Valuta [0]_DCF Filos" xfId="1667"/>
    <cellStyle name="Valuta_Compkey_95" xfId="1668"/>
    <cellStyle name="VertPC" xfId="1669"/>
    <cellStyle name="Währung [0]_Admin" xfId="1670"/>
    <cellStyle name="Währung_Admin" xfId="1671"/>
    <cellStyle name="White" xfId="1672"/>
    <cellStyle name="WholeNumber" xfId="1673"/>
    <cellStyle name="WP Header" xfId="1674"/>
    <cellStyle name="WrappedBold" xfId="1675"/>
    <cellStyle name="x0" xfId="1676"/>
    <cellStyle name="x1" xfId="1677"/>
    <cellStyle name="x2" xfId="1678"/>
    <cellStyle name="year" xfId="1679"/>
    <cellStyle name="Year Estimates" xfId="1680"/>
    <cellStyle name="Year Historicals" xfId="1681"/>
    <cellStyle name="Year_MD 1 model_blank_Augustin" xfId="1682"/>
    <cellStyle name="YearA" xfId="1683"/>
    <cellStyle name="YearE" xfId="1684"/>
    <cellStyle name="Yen" xfId="1685"/>
    <cellStyle name="Normal 2 2" xfId="1686"/>
    <cellStyle name="Input 2" xfId="1687"/>
    <cellStyle name="b_Project Lucy model v40 160305_Gondola Debt &amp; Valuation Model - 041109" xfId="1688"/>
    <cellStyle name="Millares [0]_Asset Mgmt " xfId="1689"/>
    <cellStyle name="Millares_Asset Mgmt " xfId="1690"/>
    <cellStyle name="Moneda [0]_Asset Mgmt " xfId="1691"/>
    <cellStyle name="Moneda_Asset Mgmt " xfId="1692"/>
    <cellStyle name="n" xfId="1693"/>
    <cellStyle name="Normal 4" xfId="1694"/>
    <cellStyle name="Normal 5" xfId="1695"/>
    <cellStyle name="Comma 3" xfId="1696"/>
    <cellStyle name="header 2" xfId="1697"/>
    <cellStyle name="Input 3" xfId="1698"/>
    <cellStyle name="Normal 2 3" xfId="1699"/>
    <cellStyle name="Percent 3" xfId="1700"/>
    <cellStyle name="Comma 4" xfId="1701"/>
    <cellStyle name="Input 4" xfId="1702"/>
    <cellStyle name="Input 5" xfId="1703"/>
    <cellStyle name="Comma 5" xfId="1704"/>
    <cellStyle name="Normal 6" xfId="1705"/>
    <cellStyle name="Percent 4" xfId="1706"/>
    <cellStyle name="Percent 5" xfId="1707"/>
    <cellStyle name="Normal 9" xfId="1708"/>
    <cellStyle name="Comma 10" xfId="1709"/>
    <cellStyle name="Input 10" xfId="1710"/>
    <cellStyle name="Comma 8" xfId="1711"/>
    <cellStyle name="Input 8" xfId="1712"/>
    <cellStyle name="Input 9" xfId="1713"/>
    <cellStyle name="Comma 9" xfId="1714"/>
    <cellStyle name="Percent 8" xfId="1715"/>
    <cellStyle name="Normal 10" xfId="1716"/>
    <cellStyle name="Normal 11" xfId="1717"/>
    <cellStyle name="Percent 9" xfId="1718"/>
    <cellStyle name="Input 6" xfId="1719"/>
    <cellStyle name="Comma 6" xfId="1720"/>
    <cellStyle name="Normal 7" xfId="1721"/>
    <cellStyle name="Percent 6" xfId="1722"/>
    <cellStyle name="Normal 8" xfId="1723"/>
    <cellStyle name="Comma 7" xfId="1724"/>
    <cellStyle name="Input 7" xfId="1725"/>
    <cellStyle name="Percent 7" xfId="1726"/>
    <cellStyle name="Percent 10" xfId="1727"/>
    <cellStyle name="Normal 12" xfId="1728"/>
    <cellStyle name="Comma 11" xfId="1729"/>
    <cellStyle name="Input 11" xfId="1730"/>
    <cellStyle name="Input 12" xfId="1731"/>
    <cellStyle name="Comma 12" xfId="1732"/>
    <cellStyle name="Percent 11" xfId="1733"/>
    <cellStyle name="Normal 13" xfId="1734"/>
    <cellStyle name="Percent 12" xfId="1735"/>
    <cellStyle name="Normal 14" xfId="1736"/>
    <cellStyle name="Comma 13" xfId="1737"/>
    <cellStyle name="Input 13" xfId="1738"/>
    <cellStyle name="Input 14" xfId="1739"/>
    <cellStyle name="Comma 14" xfId="1740"/>
    <cellStyle name="Percent 13" xfId="1741"/>
    <cellStyle name="Normal 15" xfId="1742"/>
    <cellStyle name="Percent 14" xfId="1743"/>
    <cellStyle name="Comma 15" xfId="1744"/>
    <cellStyle name="args.style" xfId="1745"/>
    <cellStyle name="Factor" xfId="1746"/>
    <cellStyle name="Input Cells" xfId="1747"/>
    <cellStyle name="per.style" xfId="1748"/>
    <cellStyle name="#_Feeder_Ratings Adj._FLAMINGO" xfId="1749"/>
    <cellStyle name="#_M&amp;A Model_Ratings Adj._FLAMINGO" xfId="1750"/>
    <cellStyle name="#_M&amp;A projections_Ratings Adj._FLAMINGO" xfId="1751"/>
    <cellStyle name="#_Ratings Adj._FLAMINGO" xfId="1752"/>
    <cellStyle name="$ &amp; ¢" xfId="1753"/>
    <cellStyle name="$_Ipsen Act" xfId="1754"/>
    <cellStyle name="%_Crib sheet" xfId="1755"/>
    <cellStyle name="%_Crib sheet_Covenants_draft_260412" xfId="1756"/>
    <cellStyle name="%_Head Office Pack - Draft 4" xfId="1757"/>
    <cellStyle name="%_Head Office Pack - Draft 4_Covenants_draft_260412" xfId="1758"/>
    <cellStyle name="%_Internal" xfId="1759"/>
    <cellStyle name="%_Internal 1" xfId="1760"/>
    <cellStyle name="%_Internal 1_Projections Pack" xfId="1761"/>
    <cellStyle name="%_Internal 1_Projections Pack (TM)" xfId="1762"/>
    <cellStyle name="%_Internal 1_Quasi Rent Illustration" xfId="1763"/>
    <cellStyle name="%_Internal_Projections Pack" xfId="1764"/>
    <cellStyle name="%_Internal_Projections Pack (TM)" xfId="1765"/>
    <cellStyle name="%_Internal_Quasi Rent Illustration" xfId="1766"/>
    <cellStyle name="%_IT Budget 2011" xfId="1767"/>
    <cellStyle name="%_IT Budget Master 2011 - Draft V2 1 (2)" xfId="1768"/>
    <cellStyle name="%_Labour Benchmark - 17th Sept" xfId="1769"/>
    <cellStyle name="%_Labour Benchmark - 17th Sept_Covenants_draft_260412" xfId="1770"/>
    <cellStyle name="%_Labour Top Down vs Bottom Up" xfId="1771"/>
    <cellStyle name="%_Labour Top Down vs Bottom Up_Covenants_draft_260412" xfId="1772"/>
    <cellStyle name="%_Marketing &amp; Product" xfId="1773"/>
    <cellStyle name="%_Marketing Bridge" xfId="1774"/>
    <cellStyle name="%_Marketing Bridge_Covenants_draft_260412" xfId="1775"/>
    <cellStyle name="%_Marketing Bridge_Marketing &amp; Product" xfId="1776"/>
    <cellStyle name="%_Net Gain Review Pack - 28th Sept" xfId="1777"/>
    <cellStyle name="%_Page for Exec Pack" xfId="1778"/>
    <cellStyle name="%_PAR overlay" xfId="1779"/>
    <cellStyle name="%_PAR overlay_Projections Pack" xfId="1780"/>
    <cellStyle name="%_PAR overlay_Projections Pack (TM)" xfId="1781"/>
    <cellStyle name="%_PAR overlay_Quasi Rent Illustration" xfId="1782"/>
    <cellStyle name="%_Sceanrio 2 Update - Dec 2nd" xfId="1783"/>
    <cellStyle name="%_Sceanrio 2 Update - Dec 2nd_Projections Pack" xfId="1784"/>
    <cellStyle name="%_Sceanrio 2 Update - Dec 2nd_Projections Pack (TM)" xfId="1785"/>
    <cellStyle name="%_Sceanrio 2 Update - Dec 2nd_Quasi Rent Illustration" xfId="1786"/>
    <cellStyle name="%_Sheet1" xfId="1787"/>
    <cellStyle name="_2009 04 Capex reporting Exec pack draft" xfId="1788"/>
    <cellStyle name="_2009 04 Capex reporting Exec pack draft_Covenants_draft_260412" xfId="1789"/>
    <cellStyle name="_2009 04 Capex reporting Exec pack draft_Head Office Pack - Draft 1" xfId="1790"/>
    <cellStyle name="_2009 04 Capex reporting Exec pack draft_Head Office Pack - Draft 4" xfId="1791"/>
    <cellStyle name="_2009 04 Capex reporting Exec pack draft_Property Budget 2011" xfId="1792"/>
    <cellStyle name="_2009 04 Capex reporting Exec pack draft_Property Budget 2011_Covenants_draft_260412" xfId="1793"/>
    <cellStyle name="_2009 04 Capex reporting Exec pack draft_Property Budget 2011_Marketing &amp; Product" xfId="1794"/>
    <cellStyle name="_2009 04 Capex reporting Exec pack draft_Sheet1" xfId="1795"/>
    <cellStyle name="_2009 05 Capex reporting EXEC PACK draft v2" xfId="1796"/>
    <cellStyle name="_2009 05 Capex reporting EXEC PACK draft v2_Covenants_draft_260412" xfId="1797"/>
    <cellStyle name="_2009 05 Capex reporting EXEC PACK draft v2_Head Office Pack - Draft 1" xfId="1798"/>
    <cellStyle name="_2009 05 Capex reporting EXEC PACK draft v2_Head Office Pack - Draft 4" xfId="1799"/>
    <cellStyle name="_2009 05 Capex reporting EXEC PACK draft v2_Property Budget 2011" xfId="1800"/>
    <cellStyle name="_2009 05 Capex reporting EXEC PACK draft v2_Property Budget 2011_Covenants_draft_260412" xfId="1801"/>
    <cellStyle name="_2009 05 Capex reporting EXEC PACK draft v2_Property Budget 2011_Marketing &amp; Product" xfId="1802"/>
    <cellStyle name="_2009 05 Capex reporting EXEC PACK draft v2_Sheet1" xfId="1803"/>
    <cellStyle name="_2009 P3 Capex report v1" xfId="1804"/>
    <cellStyle name="_2009 P3 Capex report v1_Covenants_draft_260412" xfId="1805"/>
    <cellStyle name="_2009 P3 Capex report v1_Head Office Pack - Draft 1" xfId="1806"/>
    <cellStyle name="_2009 P3 Capex report v1_Head Office Pack - Draft 4" xfId="1807"/>
    <cellStyle name="_2009 P3 Capex report v1_Property Budget 2011" xfId="1808"/>
    <cellStyle name="_2009 P3 Capex report v1_Property Budget 2011_Covenants_draft_260412" xfId="1809"/>
    <cellStyle name="_2009 P3 Capex report v1_Property Budget 2011_Marketing &amp; Product" xfId="1810"/>
    <cellStyle name="_2009 P3 Capex report v1_Sheet1" xfId="1811"/>
    <cellStyle name="_2010 Budget - Property PPM" xfId="1812"/>
    <cellStyle name="_2010 Budget - Property PPM_Covenants_draft_260412" xfId="1813"/>
    <cellStyle name="_2010 Budget - Property PPM_Head Office Pack - Draft 1" xfId="1814"/>
    <cellStyle name="_2010 Budget - Property PPM_Head Office Pack - Draft 4" xfId="1815"/>
    <cellStyle name="_2010 Budget - Property PPM_Sheet1" xfId="1816"/>
    <cellStyle name="_2010 Rent Budget" xfId="1817"/>
    <cellStyle name="_2010 Rent Budget_Covenants_draft_260412" xfId="1818"/>
    <cellStyle name="_2010 Rent Budget_Head Office Pack - Draft 1" xfId="1819"/>
    <cellStyle name="_2010 Rent Budget_Head Office Pack - Draft 4" xfId="1820"/>
    <cellStyle name="_2010 Rent Budget_Sheet1" xfId="1821"/>
    <cellStyle name="_Aberdeen" xfId="1822"/>
    <cellStyle name="_Accruals" xfId="1823"/>
    <cellStyle name="_Accruals_Covenants_draft_260412" xfId="1824"/>
    <cellStyle name="_Accruals_Head Office Pack - Draft 1" xfId="1825"/>
    <cellStyle name="_Accruals_Head Office Pack - Draft 4" xfId="1826"/>
    <cellStyle name="_Accruals_Property Budget 2011" xfId="1827"/>
    <cellStyle name="_Accruals_Property Budget 2011_Covenants_draft_260412" xfId="1828"/>
    <cellStyle name="_Accruals_Property Budget 2011_Marketing &amp; Product" xfId="1829"/>
    <cellStyle name="_Accruals_Sheet1" xfId="1830"/>
    <cellStyle name="_Benchmarking - generic sheet" xfId="1831"/>
    <cellStyle name="_Benchmarking - generic sheet_Covenants_draft_260412" xfId="1832"/>
    <cellStyle name="_Benchmarking - generic sheet_Head Office Pack - Draft 1" xfId="1833"/>
    <cellStyle name="_Benchmarking - generic sheet_Head Office Pack - Draft 4" xfId="1834"/>
    <cellStyle name="_Benchmarking - generic sheet_Property Budget 2011" xfId="1835"/>
    <cellStyle name="_Benchmarking - generic sheet_Property Budget 2011_Covenants_draft_260412" xfId="1836"/>
    <cellStyle name="_Benchmarking - generic sheet_Property Budget 2011_Marketing &amp; Product" xfId="1837"/>
    <cellStyle name="_Benchmarking - generic sheet_Sheet1" xfId="1838"/>
    <cellStyle name="_Book2_Covenants_draft_260412" xfId="1839"/>
    <cellStyle name="_Book2_Head Office Pack - Draft 1" xfId="1840"/>
    <cellStyle name="_Book2_Head Office Pack - Draft 4" xfId="1841"/>
    <cellStyle name="_Book2_Property Budget 2011" xfId="1842"/>
    <cellStyle name="_Book2_Property Budget 2011_Covenants_draft_260412" xfId="1843"/>
    <cellStyle name="_Book2_Property Budget 2011_Marketing &amp; Product" xfId="1844"/>
    <cellStyle name="_Book2_Sheet1" xfId="1845"/>
    <cellStyle name="_Capex" xfId="1846"/>
    <cellStyle name="_Capex_Book2" xfId="1847"/>
    <cellStyle name="_Capex_Covenants_draft_260412" xfId="1848"/>
    <cellStyle name="_Capex_DRAFT 11" xfId="1849"/>
    <cellStyle name="_Capex_DRAFT 11_Covenants_draft_260412" xfId="1850"/>
    <cellStyle name="_Capex_DRAFT 11_Marketing &amp; Product" xfId="1851"/>
    <cellStyle name="_Capex_Head Office Pack - Draft 1" xfId="1852"/>
    <cellStyle name="_Capex_Head Office Pack - Draft 4" xfId="1853"/>
    <cellStyle name="_Capex_Internal" xfId="1854"/>
    <cellStyle name="_Capex_Internal 1" xfId="1855"/>
    <cellStyle name="_Capex_Internal 1_Projections Pack" xfId="1856"/>
    <cellStyle name="_Capex_Internal 1_Projections Pack (TM)" xfId="1857"/>
    <cellStyle name="_Capex_Internal 1_Quasi Rent Illustration" xfId="1858"/>
    <cellStyle name="_Capex_Internal_Projections Pack" xfId="1859"/>
    <cellStyle name="_Capex_Internal_Projections Pack (TM)" xfId="1860"/>
    <cellStyle name="_Capex_Internal_Quasi Rent Illustration" xfId="1861"/>
    <cellStyle name="_Capex_IT Budget 2011" xfId="1862"/>
    <cellStyle name="_Capex_IT Budget Master 2011 - Draft V2 1 (2)" xfId="1863"/>
    <cellStyle name="_Capex_Net Gain Review Pack - 28th Sept" xfId="1864"/>
    <cellStyle name="_Capex_PAR overlay" xfId="1865"/>
    <cellStyle name="_Capex_PAR overlay_Projections Pack" xfId="1866"/>
    <cellStyle name="_Capex_PAR overlay_Projections Pack (TM)" xfId="1867"/>
    <cellStyle name="_Capex_PAR overlay_Quasi Rent Illustration" xfId="1868"/>
    <cellStyle name="_Capex_Property Budget 2011" xfId="1869"/>
    <cellStyle name="_Capex_Property Budget 2011_Covenants_draft_260412" xfId="1870"/>
    <cellStyle name="_Capex_Property Budget 2011_Marketing &amp; Product" xfId="1871"/>
    <cellStyle name="_Capex_Sceanrio 2 Update - Dec 2nd" xfId="1872"/>
    <cellStyle name="_Capex_Sceanrio 2 Update - Dec 2nd_Projections Pack" xfId="1873"/>
    <cellStyle name="_Capex_Sceanrio 2 Update - Dec 2nd_Projections Pack (TM)" xfId="1874"/>
    <cellStyle name="_Capex_Sceanrio 2 Update - Dec 2nd_Quasi Rent Illustration" xfId="1875"/>
    <cellStyle name="_Capex_Sheet1" xfId="1876"/>
    <cellStyle name="_Capex_YLC" xfId="1877"/>
    <cellStyle name="_Causal" xfId="1878"/>
    <cellStyle name="_Causal_Book2" xfId="1879"/>
    <cellStyle name="_Causal_Covenants_draft_260412" xfId="1880"/>
    <cellStyle name="_Causal_Internal" xfId="1881"/>
    <cellStyle name="_Causal_Internal 1" xfId="1882"/>
    <cellStyle name="_Causal_Internal 1_Projections Pack" xfId="1883"/>
    <cellStyle name="_Causal_Internal 1_Projections Pack (TM)" xfId="1884"/>
    <cellStyle name="_Causal_Internal 1_Quasi Rent Illustration" xfId="1885"/>
    <cellStyle name="_Causal_Internal_Projections Pack" xfId="1886"/>
    <cellStyle name="_Causal_Internal_Projections Pack (TM)" xfId="1887"/>
    <cellStyle name="_Causal_Internal_Quasi Rent Illustration" xfId="1888"/>
    <cellStyle name="_Causal_Marketing &amp; Product" xfId="1889"/>
    <cellStyle name="_Causal_Net Gain Review Pack - 28th Sept" xfId="1890"/>
    <cellStyle name="_Causal_PAR overlay" xfId="1891"/>
    <cellStyle name="_Causal_PAR overlay_Projections Pack" xfId="1892"/>
    <cellStyle name="_Causal_PAR overlay_Projections Pack (TM)" xfId="1893"/>
    <cellStyle name="_Causal_PAR overlay_Quasi Rent Illustration" xfId="1894"/>
    <cellStyle name="_Causal_Sceanrio 2 Update - Dec 2nd" xfId="1895"/>
    <cellStyle name="_Causal_Sceanrio 2 Update - Dec 2nd_Projections Pack" xfId="1896"/>
    <cellStyle name="_Causal_Sceanrio 2 Update - Dec 2nd_Projections Pack (TM)" xfId="1897"/>
    <cellStyle name="_Causal_Sceanrio 2 Update - Dec 2nd_Quasi Rent Illustration" xfId="1898"/>
    <cellStyle name="_Causal_Sheet1" xfId="1899"/>
    <cellStyle name="_Causal_YLC" xfId="1900"/>
    <cellStyle name="_Club summary_v06_140507" xfId="1901"/>
    <cellStyle name="_Club summary_v06_140507_Book2" xfId="1902"/>
    <cellStyle name="_Club summary_v06_140507_Covenants_draft_260412" xfId="1903"/>
    <cellStyle name="_Club summary_v06_140507_DRAFT 11" xfId="1904"/>
    <cellStyle name="_Club summary_v06_140507_DRAFT 11_Covenants_draft_260412" xfId="1905"/>
    <cellStyle name="_Club summary_v06_140507_DRAFT 11_Marketing &amp; Product" xfId="1906"/>
    <cellStyle name="_Club summary_v06_140507_Head Office Pack - Draft 1" xfId="1907"/>
    <cellStyle name="_Club summary_v06_140507_Head Office Pack - Draft 4" xfId="1908"/>
    <cellStyle name="_Club summary_v06_140507_Internal" xfId="1909"/>
    <cellStyle name="_Club summary_v06_140507_Internal 1" xfId="1910"/>
    <cellStyle name="_Club summary_v06_140507_Internal 1_Projections Pack" xfId="1911"/>
    <cellStyle name="_Club summary_v06_140507_Internal 1_Projections Pack (TM)" xfId="1912"/>
    <cellStyle name="_Club summary_v06_140507_Internal 1_Quasi Rent Illustration" xfId="1913"/>
    <cellStyle name="_Club summary_v06_140507_Internal_Projections Pack" xfId="1914"/>
    <cellStyle name="_Club summary_v06_140507_Internal_Projections Pack (TM)" xfId="1915"/>
    <cellStyle name="_Club summary_v06_140507_Internal_Quasi Rent Illustration" xfId="1916"/>
    <cellStyle name="_Club summary_v06_140507_IT Budget 2011" xfId="1917"/>
    <cellStyle name="_Club summary_v06_140507_IT Budget Master 2011 - Draft V2 1 (2)" xfId="1918"/>
    <cellStyle name="_Club summary_v06_140507_Net Gain Review Pack - 28th Sept" xfId="1919"/>
    <cellStyle name="_Club summary_v06_140507_PAR overlay" xfId="1920"/>
    <cellStyle name="_Club summary_v06_140507_PAR overlay_Projections Pack" xfId="1921"/>
    <cellStyle name="_Club summary_v06_140507_PAR overlay_Projections Pack (TM)" xfId="1922"/>
    <cellStyle name="_Club summary_v06_140507_PAR overlay_Quasi Rent Illustration" xfId="1923"/>
    <cellStyle name="_Club summary_v06_140507_Property Budget 2011" xfId="1924"/>
    <cellStyle name="_Club summary_v06_140507_Property Budget 2011_Covenants_draft_260412" xfId="1925"/>
    <cellStyle name="_Club summary_v06_140507_Property Budget 2011_Marketing &amp; Product" xfId="1926"/>
    <cellStyle name="_Club summary_v06_140507_Sceanrio 2 Update - Dec 2nd" xfId="1927"/>
    <cellStyle name="_Club summary_v06_140507_Sceanrio 2 Update - Dec 2nd_Projections Pack" xfId="1928"/>
    <cellStyle name="_Club summary_v06_140507_Sceanrio 2 Update - Dec 2nd_Projections Pack (TM)" xfId="1929"/>
    <cellStyle name="_Club summary_v06_140507_Sceanrio 2 Update - Dec 2nd_Quasi Rent Illustration" xfId="1930"/>
    <cellStyle name="_Club summary_v06_140507_Sheet1" xfId="1931"/>
    <cellStyle name="_Club summary_v06_140507_YLC" xfId="1932"/>
    <cellStyle name="_Column1_Book2" xfId="1933"/>
    <cellStyle name="_Column1_Covenants_draft_260412" xfId="1934"/>
    <cellStyle name="_Column1_DRAFT 11" xfId="1935"/>
    <cellStyle name="_Column1_DRAFT 11_Covenants_draft_260412" xfId="1936"/>
    <cellStyle name="_Column1_DRAFT 11_Marketing &amp; Product" xfId="1937"/>
    <cellStyle name="_Column1_Head Office Pack - Draft 1" xfId="1938"/>
    <cellStyle name="_Column1_Head Office Pack - Draft 4" xfId="1939"/>
    <cellStyle name="_Column1_Internal" xfId="1940"/>
    <cellStyle name="_Column1_Internal 1" xfId="1941"/>
    <cellStyle name="_Column1_Internal 1_Projections Pack" xfId="1942"/>
    <cellStyle name="_Column1_Internal 1_Projections Pack (TM)" xfId="1943"/>
    <cellStyle name="_Column1_Internal 1_Quasi Rent Illustration" xfId="1944"/>
    <cellStyle name="_Column1_Internal_Projections Pack" xfId="1945"/>
    <cellStyle name="_Column1_Internal_Projections Pack (TM)" xfId="1946"/>
    <cellStyle name="_Column1_Internal_Quasi Rent Illustration" xfId="1947"/>
    <cellStyle name="_Column1_IT Budget 2011" xfId="1948"/>
    <cellStyle name="_Column1_IT Budget Master 2011 - Draft V2 1 (2)" xfId="1949"/>
    <cellStyle name="_Column1_Net Gain Review Pack - 28th Sept" xfId="1950"/>
    <cellStyle name="_Column1_PAR overlay" xfId="1951"/>
    <cellStyle name="_Column1_PAR overlay_Projections Pack" xfId="1952"/>
    <cellStyle name="_Column1_PAR overlay_Projections Pack (TM)" xfId="1953"/>
    <cellStyle name="_Column1_PAR overlay_Quasi Rent Illustration" xfId="1954"/>
    <cellStyle name="_Column1_Property Budget 2011" xfId="1955"/>
    <cellStyle name="_Column1_Property Budget 2011_Covenants_draft_260412" xfId="1956"/>
    <cellStyle name="_Column1_Property Budget 2011_Marketing &amp; Product" xfId="1957"/>
    <cellStyle name="_Column1_Sceanrio 2 Update - Dec 2nd" xfId="1958"/>
    <cellStyle name="_Column1_Sceanrio 2 Update - Dec 2nd_Projections Pack" xfId="1959"/>
    <cellStyle name="_Column1_Sceanrio 2 Update - Dec 2nd_Projections Pack (TM)" xfId="1960"/>
    <cellStyle name="_Column1_Sceanrio 2 Update - Dec 2nd_Quasi Rent Illustration" xfId="1961"/>
    <cellStyle name="_Column1_Sheet1" xfId="1962"/>
    <cellStyle name="_Column1_YLC" xfId="1963"/>
    <cellStyle name="_Column4_3.P&amp;L" xfId="1964"/>
    <cellStyle name="_Column4_Book2" xfId="1965"/>
    <cellStyle name="_Column4_Covenants_draft_260412" xfId="1966"/>
    <cellStyle name="_Column4_DRAFT 11" xfId="1967"/>
    <cellStyle name="_Column4_DRAFT 11_Covenants_draft_260412" xfId="1968"/>
    <cellStyle name="_Column4_DRAFT 11_Marketing &amp; Product" xfId="1969"/>
    <cellStyle name="_Column4_Head Office Pack - Draft 1" xfId="1970"/>
    <cellStyle name="_Column4_Head Office Pack - Draft 4" xfId="1971"/>
    <cellStyle name="_Column4_PAR overlay" xfId="1972"/>
    <cellStyle name="_Column4_PAR overlay_Projections Pack" xfId="1973"/>
    <cellStyle name="_Column4_PAR overlay_Projections Pack (TM)" xfId="1974"/>
    <cellStyle name="_Column4_PAR overlay_Quasi Rent Illustration" xfId="1975"/>
    <cellStyle name="_Column4_Property Budget 2011" xfId="1976"/>
    <cellStyle name="_Column4_Property Budget 2011_Covenants_draft_260412" xfId="1977"/>
    <cellStyle name="_Column4_Property Budget 2011_Marketing &amp; Product" xfId="1978"/>
    <cellStyle name="_Column4_Sheet1" xfId="1979"/>
    <cellStyle name="_Column4_YLC" xfId="1980"/>
    <cellStyle name="_Column7_3. Version 4 Bank" xfId="1981"/>
    <cellStyle name="_Column7_3. Version 4 Bank new segments" xfId="1982"/>
    <cellStyle name="_Column7_4. Version 4 Bank new segments with rollout" xfId="1983"/>
    <cellStyle name="_Column7_4. Version 4 Bank with Rollout" xfId="1984"/>
    <cellStyle name="_Column7_PAR overlay" xfId="1985"/>
    <cellStyle name="_Column7_UBS Model" xfId="1986"/>
    <cellStyle name="_Column7_UBS Model - upside model" xfId="1987"/>
    <cellStyle name="_Dec Exec Pack" xfId="1988"/>
    <cellStyle name="_Dec Exec Pack_Covenants_draft_260412" xfId="1989"/>
    <cellStyle name="_Dec Exec Pack_Head Office Pack - Draft 1" xfId="1990"/>
    <cellStyle name="_Dec Exec Pack_Head Office Pack - Draft 4" xfId="1991"/>
    <cellStyle name="_Dec Exec Pack_Property Budget 2011" xfId="1992"/>
    <cellStyle name="_Dec Exec Pack_Property Budget 2011_Covenants_draft_260412" xfId="1993"/>
    <cellStyle name="_Dec Exec Pack_Property Budget 2011_Marketing &amp; Product" xfId="1994"/>
    <cellStyle name="_Dec Exec Pack_Sheet1" xfId="1995"/>
    <cellStyle name="_Detailed Analysis" xfId="1996"/>
    <cellStyle name="_Detailed P&amp;L's" xfId="1997"/>
    <cellStyle name="_Draft 1 - 26th November" xfId="1998"/>
    <cellStyle name="_Draft 1 - 29th September rv" xfId="1999"/>
    <cellStyle name="_Entry Point" xfId="2000"/>
    <cellStyle name="_Euro Pack" xfId="2001"/>
    <cellStyle name="_Euro Pack_Covenants_draft_260412" xfId="2002"/>
    <cellStyle name="_Euro Pack_Head Office Pack - Draft 1" xfId="2003"/>
    <cellStyle name="_Euro Pack_Head Office Pack - Draft 4" xfId="2004"/>
    <cellStyle name="_Euro Pack_Property Budget 2011" xfId="2005"/>
    <cellStyle name="_Euro Pack_Property Budget 2011_Covenants_draft_260412" xfId="2006"/>
    <cellStyle name="_Euro Pack_Property Budget 2011_Marketing &amp; Product" xfId="2007"/>
    <cellStyle name="_Euro Pack_Sheet1" xfId="2008"/>
    <cellStyle name="_Europe RD Pack P3" xfId="2009"/>
    <cellStyle name="_Exec Overview" xfId="2010"/>
    <cellStyle name="_Exec Overview_Book2" xfId="2011"/>
    <cellStyle name="_Exec Overview_Covenants_draft_260412" xfId="2012"/>
    <cellStyle name="_Exec Overview_Internal" xfId="2013"/>
    <cellStyle name="_Exec Overview_Internal 1" xfId="2014"/>
    <cellStyle name="_Exec Overview_Internal 1_Projections Pack" xfId="2015"/>
    <cellStyle name="_Exec Overview_Internal 1_Projections Pack (TM)" xfId="2016"/>
    <cellStyle name="_Exec Overview_Internal 1_Quasi Rent Illustration" xfId="2017"/>
    <cellStyle name="_Exec Overview_Internal_Projections Pack" xfId="2018"/>
    <cellStyle name="_Exec Overview_Internal_Projections Pack (TM)" xfId="2019"/>
    <cellStyle name="_Exec Overview_Internal_Quasi Rent Illustration" xfId="2020"/>
    <cellStyle name="_Exec Overview_Marketing &amp; Product" xfId="2021"/>
    <cellStyle name="_Exec Overview_Net Gain Review Pack - 28th Sept" xfId="2022"/>
    <cellStyle name="_Exec Overview_PAR overlay" xfId="2023"/>
    <cellStyle name="_Exec Overview_PAR overlay_Projections Pack" xfId="2024"/>
    <cellStyle name="_Exec Overview_PAR overlay_Projections Pack (TM)" xfId="2025"/>
    <cellStyle name="_Exec Overview_PAR overlay_Quasi Rent Illustration" xfId="2026"/>
    <cellStyle name="_Exec Overview_Sceanrio 2 Update - Dec 2nd" xfId="2027"/>
    <cellStyle name="_Exec Overview_Sceanrio 2 Update - Dec 2nd_Projections Pack" xfId="2028"/>
    <cellStyle name="_Exec Overview_Sceanrio 2 Update - Dec 2nd_Projections Pack (TM)" xfId="2029"/>
    <cellStyle name="_Exec Overview_Sceanrio 2 Update - Dec 2nd_Quasi Rent Illustration" xfId="2030"/>
    <cellStyle name="_Exec Overview_Sheet1" xfId="2031"/>
    <cellStyle name="_Exec Overview_YLC" xfId="2032"/>
    <cellStyle name="_Exec pack post Jason Smith Changes" xfId="2033"/>
    <cellStyle name="_Exec pack post Jason Smith Changes_Covenants_draft_260412" xfId="2034"/>
    <cellStyle name="_Exec pack post Jason Smith Changes_Head Office Pack - Draft 1" xfId="2035"/>
    <cellStyle name="_Exec pack post Jason Smith Changes_Head Office Pack - Draft 4" xfId="2036"/>
    <cellStyle name="_Exec pack post Jason Smith Changes_Property Budget 2011" xfId="2037"/>
    <cellStyle name="_Exec pack post Jason Smith Changes_Property Budget 2011_Covenants_draft_260412" xfId="2038"/>
    <cellStyle name="_Exec pack post Jason Smith Changes_Property Budget 2011_Marketing &amp; Product" xfId="2039"/>
    <cellStyle name="_Exec pack post Jason Smith Changes_Sheet1" xfId="2040"/>
    <cellStyle name="_Exec Performance Pack" xfId="2041"/>
    <cellStyle name="_final pricing DLLNG Dec 14 2007" xfId="2042"/>
    <cellStyle name="_FINAL RISKS AND OPS" xfId="2043"/>
    <cellStyle name="_FINAL RISKS AND OPS_Book2" xfId="2044"/>
    <cellStyle name="_FINAL RISKS AND OPS_Covenants_draft_260412" xfId="2045"/>
    <cellStyle name="_FINAL RISKS AND OPS_Internal" xfId="2046"/>
    <cellStyle name="_FINAL RISKS AND OPS_Internal 1" xfId="2047"/>
    <cellStyle name="_FINAL RISKS AND OPS_Internal 1_Projections Pack" xfId="2048"/>
    <cellStyle name="_FINAL RISKS AND OPS_Internal 1_Projections Pack (TM)" xfId="2049"/>
    <cellStyle name="_FINAL RISKS AND OPS_Internal 1_Quasi Rent Illustration" xfId="2050"/>
    <cellStyle name="_FINAL RISKS AND OPS_Internal_Projections Pack" xfId="2051"/>
    <cellStyle name="_FINAL RISKS AND OPS_Internal_Projections Pack (TM)" xfId="2052"/>
    <cellStyle name="_FINAL RISKS AND OPS_Internal_Quasi Rent Illustration" xfId="2053"/>
    <cellStyle name="_FINAL RISKS AND OPS_Marketing &amp; Product" xfId="2054"/>
    <cellStyle name="_FINAL RISKS AND OPS_Net Gain Review Pack - 28th Sept" xfId="2055"/>
    <cellStyle name="_FINAL RISKS AND OPS_PAR overlay" xfId="2056"/>
    <cellStyle name="_FINAL RISKS AND OPS_PAR overlay_Projections Pack" xfId="2057"/>
    <cellStyle name="_FINAL RISKS AND OPS_PAR overlay_Projections Pack (TM)" xfId="2058"/>
    <cellStyle name="_FINAL RISKS AND OPS_PAR overlay_Quasi Rent Illustration" xfId="2059"/>
    <cellStyle name="_FINAL RISKS AND OPS_Sceanrio 2 Update - Dec 2nd" xfId="2060"/>
    <cellStyle name="_FINAL RISKS AND OPS_Sceanrio 2 Update - Dec 2nd_Projections Pack" xfId="2061"/>
    <cellStyle name="_FINAL RISKS AND OPS_Sceanrio 2 Update - Dec 2nd_Projections Pack (TM)" xfId="2062"/>
    <cellStyle name="_FINAL RISKS AND OPS_Sceanrio 2 Update - Dec 2nd_Quasi Rent Illustration" xfId="2063"/>
    <cellStyle name="_FINAL RISKS AND OPS_Sheet1" xfId="2064"/>
    <cellStyle name="_FINAL RISKS AND OPS_YLC" xfId="2065"/>
    <cellStyle name="_H&amp;F" xfId="2066"/>
    <cellStyle name="_H&amp;F_Covenants_draft_260412" xfId="2067"/>
    <cellStyle name="_H&amp;F_Head Office Pack - Draft 1" xfId="2068"/>
    <cellStyle name="_H&amp;F_Head Office Pack - Draft 4" xfId="2069"/>
    <cellStyle name="_H&amp;F_Property Budget 2011" xfId="2070"/>
    <cellStyle name="_H&amp;F_Property Budget 2011_Covenants_draft_260412" xfId="2071"/>
    <cellStyle name="_H&amp;F_Property Budget 2011_Marketing &amp; Product" xfId="2072"/>
    <cellStyle name="_H&amp;F_Sheet1" xfId="2073"/>
    <cellStyle name="_Head Office Pack - Draft 1" xfId="2074"/>
    <cellStyle name="_Head Office Pack - Draft 1_Covenants_draft_260412" xfId="2075"/>
    <cellStyle name="_Heading_16 Detail of Key Metrics_mario marco" xfId="2076"/>
    <cellStyle name="_IT Budget detail" xfId="2077"/>
    <cellStyle name="_labour pg for 2010 club model" xfId="2078"/>
    <cellStyle name="_labour pg for 2010 club model_Covenants_draft_260412" xfId="2079"/>
    <cellStyle name="_labour pg for 2010 club model_Head Office Pack - Draft 1" xfId="2080"/>
    <cellStyle name="_labour pg for 2010 club model_Head Office Pack - Draft 4" xfId="2081"/>
    <cellStyle name="_labour pg for 2010 club model_Sheet1" xfId="2082"/>
    <cellStyle name="_LBOCombOpCo_v72_Anglo" xfId="2083"/>
    <cellStyle name="_Leeds_2010_Rates" xfId="2084"/>
    <cellStyle name="_Leeds_2010_Rates_Book2" xfId="2085"/>
    <cellStyle name="_Leeds_2010_Rates_Covenants_draft_260412" xfId="2086"/>
    <cellStyle name="_Leeds_2010_Rates_Internal" xfId="2087"/>
    <cellStyle name="_Leeds_2010_Rates_Internal 1" xfId="2088"/>
    <cellStyle name="_Leeds_2010_Rates_Internal 1_Projections Pack" xfId="2089"/>
    <cellStyle name="_Leeds_2010_Rates_Internal 1_Projections Pack (TM)" xfId="2090"/>
    <cellStyle name="_Leeds_2010_Rates_Internal 1_Quasi Rent Illustration" xfId="2091"/>
    <cellStyle name="_Leeds_2010_Rates_Internal_Projections Pack" xfId="2092"/>
    <cellStyle name="_Leeds_2010_Rates_Internal_Projections Pack (TM)" xfId="2093"/>
    <cellStyle name="_Leeds_2010_Rates_Internal_Quasi Rent Illustration" xfId="2094"/>
    <cellStyle name="_Leeds_2010_Rates_PAR overlay" xfId="2095"/>
    <cellStyle name="_Leeds_2010_Rates_PAR overlay_Projections Pack" xfId="2096"/>
    <cellStyle name="_Leeds_2010_Rates_PAR overlay_Projections Pack (TM)" xfId="2097"/>
    <cellStyle name="_Leeds_2010_Rates_PAR overlay_Quasi Rent Illustration" xfId="2098"/>
    <cellStyle name="_Leeds_2010_Rates_Sceanrio 2 Update - Dec 2nd" xfId="2099"/>
    <cellStyle name="_Leeds_2010_Rates_Sceanrio 2 Update - Dec 2nd_Projections Pack" xfId="2100"/>
    <cellStyle name="_Leeds_2010_Rates_Sceanrio 2 Update - Dec 2nd_Projections Pack (TM)" xfId="2101"/>
    <cellStyle name="_Leeds_2010_Rates_Sceanrio 2 Update - Dec 2nd_Quasi Rent Illustration" xfId="2102"/>
    <cellStyle name="_Licences" xfId="2103"/>
    <cellStyle name="_Licences_Covenants_draft_260412" xfId="2104"/>
    <cellStyle name="_Licences_Head Office Pack - Draft 1" xfId="2105"/>
    <cellStyle name="_Licences_Head Office Pack - Draft 4" xfId="2106"/>
    <cellStyle name="_Licences_Sheet1" xfId="2107"/>
    <cellStyle name="_North East &amp; Midlands" xfId="2108"/>
    <cellStyle name="_North East &amp; Midlands_Covenants_draft_260412" xfId="2109"/>
    <cellStyle name="_North East &amp; Midlands_Head Office Pack - Draft 1" xfId="2110"/>
    <cellStyle name="_North East &amp; Midlands_Head Office Pack - Draft 4" xfId="2111"/>
    <cellStyle name="_North East &amp; Midlands_Property Budget 2011" xfId="2112"/>
    <cellStyle name="_North East &amp; Midlands_Property Budget 2011_Covenants_draft_260412" xfId="2113"/>
    <cellStyle name="_North East &amp; Midlands_Property Budget 2011_Marketing &amp; Product" xfId="2114"/>
    <cellStyle name="_North East &amp; Midlands_Sheet1" xfId="2115"/>
    <cellStyle name="_October Scorecard" xfId="2116"/>
    <cellStyle name="_Property Budget 2011" xfId="2117"/>
    <cellStyle name="_Property PPM Budgets - 2009" xfId="2118"/>
    <cellStyle name="_Property PPM Budgets - 2009_Covenants_draft_260412" xfId="2119"/>
    <cellStyle name="_Property PPM Budgets - 2009_Head Office Pack - Draft 1" xfId="2120"/>
    <cellStyle name="_Property PPM Budgets - 2009_Head Office Pack - Draft 4" xfId="2121"/>
    <cellStyle name="_Property PPM Budgets - 2009_Sheet1" xfId="2122"/>
    <cellStyle name="_Repairs &amp; Maintenance" xfId="2123"/>
    <cellStyle name="_Repairs &amp; Maintenance_Covenants_draft_260412" xfId="2124"/>
    <cellStyle name="_Repairs &amp; Maintenance_Head Office Pack - Draft 1" xfId="2125"/>
    <cellStyle name="_Repairs &amp; Maintenance_Head Office Pack - Draft 4" xfId="2126"/>
    <cellStyle name="_Repairs &amp; Maintenance_Sheet1" xfId="2127"/>
    <cellStyle name="_Row1_Book2" xfId="2128"/>
    <cellStyle name="_Row1_Covenants_draft_260412" xfId="2129"/>
    <cellStyle name="_Row1_DRAFT 11" xfId="2130"/>
    <cellStyle name="_Row1_DRAFT 11_Covenants_draft_260412" xfId="2131"/>
    <cellStyle name="_Row1_DRAFT 11_Marketing &amp; Product" xfId="2132"/>
    <cellStyle name="_Row1_Head Office Pack - Draft 1" xfId="2133"/>
    <cellStyle name="_Row1_Head Office Pack - Draft 4" xfId="2134"/>
    <cellStyle name="_Row1_Internal" xfId="2135"/>
    <cellStyle name="_Row1_Internal 1" xfId="2136"/>
    <cellStyle name="_Row1_Internal 1_Projections Pack" xfId="2137"/>
    <cellStyle name="_Row1_Internal 1_Projections Pack (TM)" xfId="2138"/>
    <cellStyle name="_Row1_Internal 1_Quasi Rent Illustration" xfId="2139"/>
    <cellStyle name="_Row1_Internal_Projections Pack" xfId="2140"/>
    <cellStyle name="_Row1_Internal_Projections Pack (TM)" xfId="2141"/>
    <cellStyle name="_Row1_Internal_Quasi Rent Illustration" xfId="2142"/>
    <cellStyle name="_Row1_IT Budget 2011" xfId="2143"/>
    <cellStyle name="_Row1_IT Budget Master 2011 - Draft V2 1 (2)" xfId="2144"/>
    <cellStyle name="_Row1_Net Gain Review Pack - 28th Sept" xfId="2145"/>
    <cellStyle name="_Row1_PAR overlay" xfId="2146"/>
    <cellStyle name="_Row1_PAR overlay_Projections Pack" xfId="2147"/>
    <cellStyle name="_Row1_PAR overlay_Projections Pack (TM)" xfId="2148"/>
    <cellStyle name="_Row1_PAR overlay_Quasi Rent Illustration" xfId="2149"/>
    <cellStyle name="_Row1_Property Budget 2011" xfId="2150"/>
    <cellStyle name="_Row1_Property Budget 2011_Covenants_draft_260412" xfId="2151"/>
    <cellStyle name="_Row1_Property Budget 2011_Marketing &amp; Product" xfId="2152"/>
    <cellStyle name="_Row1_Sceanrio 2 Update - Dec 2nd" xfId="2153"/>
    <cellStyle name="_Row1_Sceanrio 2 Update - Dec 2nd_Projections Pack" xfId="2154"/>
    <cellStyle name="_Row1_Sceanrio 2 Update - Dec 2nd_Projections Pack (TM)" xfId="2155"/>
    <cellStyle name="_Row1_Sceanrio 2 Update - Dec 2nd_Quasi Rent Illustration" xfId="2156"/>
    <cellStyle name="_Row1_Sheet1" xfId="2157"/>
    <cellStyle name="_Row1_YLC" xfId="2158"/>
    <cellStyle name="_Row4_3. Version 4 Bank" xfId="2159"/>
    <cellStyle name="_Row4_3. Version 4 Bank new segments" xfId="2160"/>
    <cellStyle name="_Row4_4. Version 4 Bank new segments with rollout" xfId="2161"/>
    <cellStyle name="_Row4_4. Version 4 Bank with Rollout" xfId="2162"/>
    <cellStyle name="_Row4_DRAFT 11" xfId="2163"/>
    <cellStyle name="_Row4_IT Budget 2011" xfId="2164"/>
    <cellStyle name="_Row4_IT Budget Master 2011 - Draft V2 1 (2)" xfId="2165"/>
    <cellStyle name="_Row4_Net Gain Review Pack - 28th Sept" xfId="2166"/>
    <cellStyle name="_Row4_PAR overlay" xfId="2167"/>
    <cellStyle name="_Row4_UBS Model" xfId="2168"/>
    <cellStyle name="_Row4_UBS Model - upside model" xfId="2169"/>
    <cellStyle name="_Row7_3. Version 4 Bank" xfId="2170"/>
    <cellStyle name="_Row7_3. Version 4 Bank new segments" xfId="2171"/>
    <cellStyle name="_Row7_4. Version 4 Bank new segments with rollout" xfId="2172"/>
    <cellStyle name="_Row7_4. Version 4 Bank with Rollout" xfId="2173"/>
    <cellStyle name="_Row7_PAR overlay" xfId="2174"/>
    <cellStyle name="_Row7_UBS Model" xfId="2175"/>
    <cellStyle name="_Row7_UBS Model - upside model" xfId="2176"/>
    <cellStyle name="_Scotland &amp; North West" xfId="2177"/>
    <cellStyle name="_Scotland &amp; North West_Covenants_draft_260412" xfId="2178"/>
    <cellStyle name="_Scotland &amp; North West_Head Office Pack - Draft 1" xfId="2179"/>
    <cellStyle name="_Scotland &amp; North West_Head Office Pack - Draft 4" xfId="2180"/>
    <cellStyle name="_Scotland &amp; North West_Property Budget 2011" xfId="2181"/>
    <cellStyle name="_Scotland &amp; North West_Property Budget 2011_Covenants_draft_260412" xfId="2182"/>
    <cellStyle name="_Scotland &amp; North West_Property Budget 2011_Marketing &amp; Product" xfId="2183"/>
    <cellStyle name="_Scotland &amp; North West_Sheet1" xfId="2184"/>
    <cellStyle name="_Section 1 2009" xfId="2185"/>
    <cellStyle name="_Section 4 2009 Group 1" xfId="2186"/>
    <cellStyle name="_Section 5 2009 Group 1" xfId="2187"/>
    <cellStyle name="_Section 5 2009 Group 5" xfId="2188"/>
    <cellStyle name="_SECTION 7 - Summary P&amp;L with Graphs" xfId="2189"/>
    <cellStyle name="_SECTION 7 - Summary P&amp;L with Graphs_Book2" xfId="2190"/>
    <cellStyle name="_SECTION 7 - Summary P&amp;L with Graphs_Covenants_draft_260412" xfId="2191"/>
    <cellStyle name="_SECTION 7 - Summary P&amp;L with Graphs_DRAFT 11" xfId="2192"/>
    <cellStyle name="_SECTION 7 - Summary P&amp;L with Graphs_DRAFT 11_Covenants_draft_260412" xfId="2193"/>
    <cellStyle name="_SECTION 7 - Summary P&amp;L with Graphs_DRAFT 11_Marketing &amp; Product" xfId="2194"/>
    <cellStyle name="_SECTION 7 - Summary P&amp;L with Graphs_Head Office Pack - Draft 1" xfId="2195"/>
    <cellStyle name="_SECTION 7 - Summary P&amp;L with Graphs_Head Office Pack - Draft 4" xfId="2196"/>
    <cellStyle name="_SECTION 7 - Summary P&amp;L with Graphs_Internal" xfId="2197"/>
    <cellStyle name="_SECTION 7 - Summary P&amp;L with Graphs_Internal 1" xfId="2198"/>
    <cellStyle name="_SECTION 7 - Summary P&amp;L with Graphs_Internal 1_Projections Pack" xfId="2199"/>
    <cellStyle name="_SECTION 7 - Summary P&amp;L with Graphs_Internal 1_Projections Pack (TM)" xfId="2200"/>
    <cellStyle name="_SECTION 7 - Summary P&amp;L with Graphs_Internal 1_Quasi Rent Illustration" xfId="2201"/>
    <cellStyle name="_SECTION 7 - Summary P&amp;L with Graphs_Internal_Projections Pack" xfId="2202"/>
    <cellStyle name="_SECTION 7 - Summary P&amp;L with Graphs_Internal_Projections Pack (TM)" xfId="2203"/>
    <cellStyle name="_SECTION 7 - Summary P&amp;L with Graphs_Internal_Quasi Rent Illustration" xfId="2204"/>
    <cellStyle name="_SECTION 7 - Summary P&amp;L with Graphs_IT Budget 2011" xfId="2205"/>
    <cellStyle name="_SECTION 7 - Summary P&amp;L with Graphs_IT Budget Master 2011 - Draft V2 1 (2)" xfId="2206"/>
    <cellStyle name="_SECTION 7 - Summary P&amp;L with Graphs_Net Gain Review Pack - 28th Sept" xfId="2207"/>
    <cellStyle name="_SECTION 7 - Summary P&amp;L with Graphs_PAR overlay" xfId="2208"/>
    <cellStyle name="_SECTION 7 - Summary P&amp;L with Graphs_PAR overlay_Projections Pack" xfId="2209"/>
    <cellStyle name="_SECTION 7 - Summary P&amp;L with Graphs_PAR overlay_Projections Pack (TM)" xfId="2210"/>
    <cellStyle name="_SECTION 7 - Summary P&amp;L with Graphs_PAR overlay_Quasi Rent Illustration" xfId="2211"/>
    <cellStyle name="_SECTION 7 - Summary P&amp;L with Graphs_Property Budget 2011" xfId="2212"/>
    <cellStyle name="_SECTION 7 - Summary P&amp;L with Graphs_Property Budget 2011_Covenants_draft_260412" xfId="2213"/>
    <cellStyle name="_SECTION 7 - Summary P&amp;L with Graphs_Property Budget 2011_Marketing &amp; Product" xfId="2214"/>
    <cellStyle name="_SECTION 7 - Summary P&amp;L with Graphs_Sceanrio 2 Update - Dec 2nd" xfId="2215"/>
    <cellStyle name="_SECTION 7 - Summary P&amp;L with Graphs_Sceanrio 2 Update - Dec 2nd_Projections Pack" xfId="2216"/>
    <cellStyle name="_SECTION 7 - Summary P&amp;L with Graphs_Sceanrio 2 Update - Dec 2nd_Projections Pack (TM)" xfId="2217"/>
    <cellStyle name="_SECTION 7 - Summary P&amp;L with Graphs_Sceanrio 2 Update - Dec 2nd_Quasi Rent Illustration" xfId="2218"/>
    <cellStyle name="_SECTION 7 - Summary P&amp;L with Graphs_Sheet1" xfId="2219"/>
    <cellStyle name="_SECTION 7 - Summary P&amp;L with Graphs_YLC" xfId="2220"/>
    <cellStyle name="_South East" xfId="2221"/>
    <cellStyle name="_South East_Covenants_draft_260412" xfId="2222"/>
    <cellStyle name="_South East_Head Office Pack - Draft 1" xfId="2223"/>
    <cellStyle name="_South East_Head Office Pack - Draft 4" xfId="2224"/>
    <cellStyle name="_South East_Property Budget 2011" xfId="2225"/>
    <cellStyle name="_South East_Property Budget 2011_Covenants_draft_260412" xfId="2226"/>
    <cellStyle name="_South East_Property Budget 2011_Marketing &amp; Product" xfId="2227"/>
    <cellStyle name="_South East_Sheet1" xfId="2228"/>
    <cellStyle name="_South West &amp; Surrey" xfId="2229"/>
    <cellStyle name="_South West &amp; Surrey_Covenants_draft_260412" xfId="2230"/>
    <cellStyle name="_South West &amp; Surrey_Head Office Pack - Draft 1" xfId="2231"/>
    <cellStyle name="_South West &amp; Surrey_Head Office Pack - Draft 4" xfId="2232"/>
    <cellStyle name="_South West &amp; Surrey_Property Budget 2011" xfId="2233"/>
    <cellStyle name="_South West &amp; Surrey_Property Budget 2011_Covenants_draft_260412" xfId="2234"/>
    <cellStyle name="_South West &amp; Surrey_Property Budget 2011_Marketing &amp; Product" xfId="2235"/>
    <cellStyle name="_South West &amp; Surrey_Sheet1" xfId="2236"/>
    <cellStyle name="_SubHeading_16 Detail of Key Metrics_mario marco" xfId="2237"/>
    <cellStyle name="_TableHead_16 Detail of Key Metrics_mario marco" xfId="2238"/>
    <cellStyle name="_TableHead_16 Detail of Key Metrics_mario marco_Quasi Rent Illustration" xfId="2239"/>
    <cellStyle name="_TableHead_16 Detail of Key Metrics_mario marco_YLC" xfId="2240"/>
    <cellStyle name="_TableHead_Quasi Rent Illustration" xfId="2241"/>
    <cellStyle name="_TableHead_YLC" xfId="2242"/>
    <cellStyle name="_UBSIB_GSF_Model_Feb_2006v3" xfId="2243"/>
    <cellStyle name="_Version 10" xfId="2244"/>
    <cellStyle name="_Version 9" xfId="2245"/>
    <cellStyle name="£" xfId="2246"/>
    <cellStyle name="€" xfId="2247"/>
    <cellStyle name="+" xfId="2248"/>
    <cellStyle name="+_Quasi Rent Illustration" xfId="2249"/>
    <cellStyle name="+_YLC" xfId="2250"/>
    <cellStyle name="3" xfId="2251"/>
    <cellStyle name="3_Quasi Rent Illustration" xfId="2252"/>
    <cellStyle name="3_YLC" xfId="2253"/>
    <cellStyle name="b_Project Lucy model v40 160305 2" xfId="2254"/>
    <cellStyle name="Border_Quasi Rent Illustration" xfId="2255"/>
    <cellStyle name="CALC Amount" xfId="2256"/>
    <cellStyle name="CALC Amount Total" xfId="2257"/>
    <cellStyle name="Comma 16" xfId="2258"/>
    <cellStyle name="Cover" xfId="2259"/>
    <cellStyle name="Currency1" xfId="2260"/>
    <cellStyle name="Currsmall" xfId="2261"/>
    <cellStyle name="Data Link" xfId="2262"/>
    <cellStyle name="Date dd-mmm" xfId="2263"/>
    <cellStyle name="Date dd-mmm-yy" xfId="2264"/>
    <cellStyle name="Date mmm-yy" xfId="2265"/>
    <cellStyle name="Date, Long" xfId="2266"/>
    <cellStyle name="Date, Short" xfId="2267"/>
    <cellStyle name="Date1" xfId="2268"/>
    <cellStyle name="Datum" xfId="2269"/>
    <cellStyle name="DblLineDollarAcct" xfId="2270"/>
    <cellStyle name="DblLinePercent" xfId="2271"/>
    <cellStyle name="Decimal" xfId="2272"/>
    <cellStyle name="Decimal (negative)" xfId="2273"/>
    <cellStyle name="Deviant" xfId="2274"/>
    <cellStyle name="Dollar1" xfId="2275"/>
    <cellStyle name="Dollar1Blue" xfId="2276"/>
    <cellStyle name="Dollar2" xfId="2277"/>
    <cellStyle name="DollarAccounting" xfId="2278"/>
    <cellStyle name="EY Narrative text" xfId="2279"/>
    <cellStyle name="EYChartTitle" xfId="2280"/>
    <cellStyle name="EYColumnHeadingItalic" xfId="2281"/>
    <cellStyle name="EYCoverDatabookName" xfId="2282"/>
    <cellStyle name="EYCoverDate" xfId="2283"/>
    <cellStyle name="EYCoverDraft" xfId="2284"/>
    <cellStyle name="EYCoverProjectName" xfId="2285"/>
    <cellStyle name="EYCurrency" xfId="2286"/>
    <cellStyle name="EYNotes" xfId="2287"/>
    <cellStyle name="EYNotesHeading" xfId="2288"/>
    <cellStyle name="EYSectionHeading" xfId="2289"/>
    <cellStyle name="EYSheetHeading" xfId="2290"/>
    <cellStyle name="EYsmallheading" xfId="2291"/>
    <cellStyle name="EYSource" xfId="2292"/>
    <cellStyle name="EYtextbold" xfId="2293"/>
    <cellStyle name="EYtextbolditalic" xfId="2294"/>
    <cellStyle name="EYtextitalic" xfId="2295"/>
    <cellStyle name="Fest" xfId="2296"/>
    <cellStyle name="Fixlong" xfId="2297"/>
    <cellStyle name="Formula" xfId="2298"/>
    <cellStyle name="Formule" xfId="2299"/>
    <cellStyle name="GWN Table Body" xfId="2300"/>
    <cellStyle name="GWN Table Header" xfId="2301"/>
    <cellStyle name="GWN Table Left Header" xfId="2302"/>
    <cellStyle name="GWN Table Note" xfId="2303"/>
    <cellStyle name="GWN Table Title" xfId="2304"/>
    <cellStyle name="H 2" xfId="2305"/>
    <cellStyle name="hardno" xfId="2306"/>
    <cellStyle name="Important" xfId="2307"/>
    <cellStyle name="Indent1" xfId="2308"/>
    <cellStyle name="Per cent" xfId="2309" builtinId="5"/>
    <cellStyle name="Normal 16" xfId="2310"/>
    <cellStyle name="Normal_Copy of Rank Model - 230108 VB" xfId="2311"/>
    <cellStyle name="_Comma_Draft funds flow - 7 June 2005" xfId="2312"/>
    <cellStyle name="_Comma_Offering Breakdown - 09-Jun -2005" xfId="2313"/>
    <cellStyle name="_Comma_Offering Breakdown - 09-Jun -2005 updated" xfId="2314"/>
    <cellStyle name="_Comma_Offering Breakdown - 19-Jun -2005 updated" xfId="2315"/>
    <cellStyle name="_Currency_Draft funds flow - 7 June 2005" xfId="2316"/>
    <cellStyle name="_Currency_Offering Breakdown - 09-Jun -2005" xfId="2317"/>
    <cellStyle name="_Currency_Offering Breakdown - 09-Jun -2005 updated" xfId="2318"/>
    <cellStyle name="_Currency_Offering Breakdown - 19-Jun -2005 updated" xfId="2319"/>
    <cellStyle name="_Currency_pi5" xfId="2320"/>
    <cellStyle name="_Currency_surbid4 cloture" xfId="2321"/>
    <cellStyle name="_Currency_surbid4 cloture_1" xfId="2322"/>
    <cellStyle name="_Currency_tropicos5" xfId="2323"/>
    <cellStyle name="_Currency_tropicos5_victoria 6nov01" xfId="2324"/>
    <cellStyle name="_Currency_voice1.xls Chart 1" xfId="2325"/>
    <cellStyle name="_Currency_voice1.xls Chart 1_victoria 6nov01" xfId="2326"/>
    <cellStyle name="_Currency_wacc" xfId="2327"/>
    <cellStyle name="_CurrencySpace_Draft funds flow - 7 June 2005" xfId="2328"/>
    <cellStyle name="_CurrencySpace_Offering Breakdown - 09-Jun -2005" xfId="2329"/>
    <cellStyle name="_CurrencySpace_Offering Breakdown - 09-Jun -2005 updated" xfId="2330"/>
    <cellStyle name="_CurrencySpace_Offering Breakdown - 19-Jun -2005 updated" xfId="2331"/>
    <cellStyle name="_CurrencySpace_sonera - 26july2001" xfId="2332"/>
    <cellStyle name="_CurrencySpace_Sonera - april01" xfId="2333"/>
    <cellStyle name="_CurrencySpace_stahl_dcf+lbo_FINAL MODEL USED FOR FAIRNESS MEETING 5 Dec 2001" xfId="2334"/>
    <cellStyle name="_CurrencySpace_stahl_dcf+lbo_revised fins" xfId="2335"/>
    <cellStyle name="_CurrencySpace_VMS Breakdown" xfId="2336"/>
    <cellStyle name="_CurrencySpace_WACC Page" xfId="2337"/>
    <cellStyle name="_CurrencySpace_Wacc V2" xfId="2338"/>
    <cellStyle name="_Dollar" xfId="2339"/>
    <cellStyle name="_Dollar_AVP Lucia excl. Assoc" xfId="2340"/>
    <cellStyle name="_Dollar_Benchmarking analysis" xfId="2341"/>
    <cellStyle name="_Dollar_Clementine revenue model-v10" xfId="2342"/>
    <cellStyle name="_Dollar_Clementine revenue model-v5" xfId="2343"/>
    <cellStyle name="_Dollar_liberate fact sheet" xfId="2344"/>
    <cellStyle name="_Dollar_New Sonera 4" xfId="2345"/>
    <cellStyle name="_Dollar_Pro-forma financials &amp; merger plan - 5 march 02" xfId="2346"/>
    <cellStyle name="_Dollar_sonera - 26july2001" xfId="2347"/>
    <cellStyle name="_Dollar_Sonera - april01" xfId="2348"/>
    <cellStyle name="_Dollar_T_MOBIL2" xfId="2349"/>
    <cellStyle name="_Dollar_Turkcell6" xfId="2350"/>
    <cellStyle name="_Dollar_Value Creation Analysis" xfId="2351"/>
    <cellStyle name="_Dollar_Versatel1" xfId="2352"/>
    <cellStyle name="—_EM-HTI" xfId="2353"/>
    <cellStyle name="—_EM-HTI_CSC May 20" xfId="2354"/>
    <cellStyle name="—_EM-KT" xfId="2355"/>
    <cellStyle name="—_EM-KT_03 CSC May 20" xfId="2356"/>
    <cellStyle name="—_EM-KT_CSC May 20" xfId="2357"/>
    <cellStyle name="—_EM-KT_Global Wireless1" xfId="2358"/>
    <cellStyle name="—_EM-SKTelecom_old" xfId="2359"/>
    <cellStyle name="—_EM-SKTelecom_old_03 CSC May 20" xfId="2360"/>
    <cellStyle name="—_EM-SKTelecom_old_CSC May 20" xfId="2361"/>
    <cellStyle name="—_EM-SKTelecom_old_EM-HTI" xfId="2362"/>
    <cellStyle name="—_EM-SKTelecom_old_EM-HTI_CSC May 20" xfId="2363"/>
    <cellStyle name="—_EM-SKTelecom_old_Global Wireless1" xfId="2364"/>
    <cellStyle name="_e-plus debt - Machado1" xfId="2365"/>
    <cellStyle name="_Euro_01research_benchmark" xfId="2366"/>
    <cellStyle name="_Euro_02 CSC Thomson - 26 may" xfId="2367"/>
    <cellStyle name="_Euro_03 CSC 28-Oct-02" xfId="2368"/>
    <cellStyle name="_Euro_CSC July 24" xfId="2369"/>
    <cellStyle name="_Euro_Wacc V2" xfId="2370"/>
    <cellStyle name="—_Global Wireless1" xfId="2371"/>
    <cellStyle name="—_Global Wireless1_03 CSC May 20" xfId="2372"/>
    <cellStyle name="—_Global Wireless1_03 CSC May 20_03_ Clean LBO Model" xfId="2373"/>
    <cellStyle name="—_Global Wireless1_03 CSC May 20_05_ Clean LBO Model" xfId="2374"/>
    <cellStyle name="—_Global Wireless1_03 CSC May 20_08 Valuation Model incl. new BP" xfId="2375"/>
    <cellStyle name="—_Global Wireless1_03 CSC May 20_09 Valuation Model incl. new BP" xfId="2376"/>
    <cellStyle name="—_Global Wireless1_03 CSC May 20_13 Valuation Model incl. new BP" xfId="2377"/>
    <cellStyle name="—_Global Wireless1_03 CSC May 20_14 Valuation Model incl. new BP" xfId="2378"/>
    <cellStyle name="—_Global Wireless1_03 CSC May 20_15_ Clean LBO Model" xfId="2379"/>
    <cellStyle name="—_Global Wireless1_03 CSC May 20_20 Valuation Model incl. new BP" xfId="2380"/>
    <cellStyle name="—_Global Wireless1_03 CSC May 20_25 Valuation Model incl. new BP" xfId="2381"/>
    <cellStyle name="—_Global Wireless1_03 CSC May 20_33 Valuation Model incl. new BP" xfId="2382"/>
    <cellStyle name="—_Global Wireless1_03 CSC May 20_34 Valuation Model incl. new BP" xfId="2383"/>
    <cellStyle name="—_Global Wireless1_03 CSC May 20_37 Valuation Model incl. new BP" xfId="2384"/>
    <cellStyle name="—_Global Wireless1_03 CSC May 20_38 Valuation Model incl. new BP" xfId="2385"/>
    <cellStyle name="—_Global Wireless1_03 CSC May 20_39 Valuation Model incl. new BP" xfId="2386"/>
    <cellStyle name="—_Global Wireless1_03 CSC May 20_40 Valuation Model incl. new BP" xfId="2387"/>
    <cellStyle name="—_Global Wireless1_03 CSC May 20_44 Valuation Model incl. new BP" xfId="2388"/>
    <cellStyle name="—_Global Wireless1_03_ Clean LBO Model" xfId="2389"/>
    <cellStyle name="—_Global Wireless1_05_ Clean LBO Model" xfId="2390"/>
    <cellStyle name="—_Global Wireless1_08 Valuation Model incl. new BP" xfId="2391"/>
    <cellStyle name="—_Global Wireless1_09 Valuation Model incl. new BP" xfId="2392"/>
    <cellStyle name="—_Global Wireless1_13 Valuation Model incl. new BP" xfId="2393"/>
    <cellStyle name="—_Global Wireless1_14 Valuation Model incl. new BP" xfId="2394"/>
    <cellStyle name="—_Global Wireless1_15_ Clean LBO Model" xfId="2395"/>
    <cellStyle name="—_Global Wireless1_20 Valuation Model incl. new BP" xfId="2396"/>
    <cellStyle name="—_Global Wireless1_25 Valuation Model incl. new BP" xfId="2397"/>
    <cellStyle name="—_Global Wireless1_33 Valuation Model incl. new BP" xfId="2398"/>
    <cellStyle name="—_Global Wireless1_34 Valuation Model incl. new BP" xfId="2399"/>
    <cellStyle name="—_Global Wireless1_37 Valuation Model incl. new BP" xfId="2400"/>
    <cellStyle name="—_Global Wireless1_38 Valuation Model incl. new BP" xfId="2401"/>
    <cellStyle name="—_Global Wireless1_39 Valuation Model incl. new BP" xfId="2402"/>
    <cellStyle name="—_Global Wireless1_40 Valuation Model incl. new BP" xfId="2403"/>
    <cellStyle name="—_Global Wireless1_44 Valuation Model incl. new BP" xfId="2404"/>
    <cellStyle name="—_Global Wireless1_CSC May 20" xfId="2405"/>
    <cellStyle name="—_Global Wireless1_CSC May 20_03_ Clean LBO Model" xfId="2406"/>
    <cellStyle name="—_Global Wireless1_CSC May 20_05_ Clean LBO Model" xfId="2407"/>
    <cellStyle name="—_Global Wireless1_CSC May 20_08 Valuation Model incl. new BP" xfId="2408"/>
    <cellStyle name="—_Global Wireless1_CSC May 20_09 Valuation Model incl. new BP" xfId="2409"/>
    <cellStyle name="—_Global Wireless1_CSC May 20_13 Valuation Model incl. new BP" xfId="2410"/>
    <cellStyle name="—_Global Wireless1_CSC May 20_14 Valuation Model incl. new BP" xfId="2411"/>
    <cellStyle name="—_Global Wireless1_CSC May 20_15_ Clean LBO Model" xfId="2412"/>
    <cellStyle name="—_Global Wireless1_CSC May 20_20 Valuation Model incl. new BP" xfId="2413"/>
    <cellStyle name="—_Global Wireless1_CSC May 20_25 Valuation Model incl. new BP" xfId="2414"/>
    <cellStyle name="—_Global Wireless1_CSC May 20_33 Valuation Model incl. new BP" xfId="2415"/>
    <cellStyle name="—_Global Wireless1_CSC May 20_34 Valuation Model incl. new BP" xfId="2416"/>
    <cellStyle name="—_Global Wireless1_CSC May 20_37 Valuation Model incl. new BP" xfId="2417"/>
    <cellStyle name="—_Global Wireless1_CSC May 20_38 Valuation Model incl. new BP" xfId="2418"/>
    <cellStyle name="—_Global Wireless1_CSC May 20_39 Valuation Model incl. new BP" xfId="2419"/>
    <cellStyle name="—_Global Wireless1_CSC May 20_40 Valuation Model incl. new BP" xfId="2420"/>
    <cellStyle name="—_Global Wireless1_CSC May 20_44 Valuation Model incl. new BP" xfId="2421"/>
    <cellStyle name="—_GS Assumptions-F" xfId="2422"/>
    <cellStyle name="—_GS Assumptions-F_03_ Clean LBO Model" xfId="2423"/>
    <cellStyle name="—_GS Assumptions-F_05_ Clean LBO Model" xfId="2424"/>
    <cellStyle name="—_GS Assumptions-F_08 Valuation Model incl. new BP" xfId="2425"/>
    <cellStyle name="—_GS Assumptions-F_09 Valuation Model incl. new BP" xfId="2426"/>
    <cellStyle name="—_GS Assumptions-F_13 Valuation Model incl. new BP" xfId="2427"/>
    <cellStyle name="—_GS Assumptions-F_14 Valuation Model incl. new BP" xfId="2428"/>
    <cellStyle name="—_GS Assumptions-F_15_ Clean LBO Model" xfId="2429"/>
    <cellStyle name="—_GS Assumptions-F_20 Valuation Model incl. new BP" xfId="2430"/>
    <cellStyle name="—_GS Assumptions-F_25 Valuation Model incl. new BP" xfId="2431"/>
    <cellStyle name="—_GS Assumptions-F_33 Valuation Model incl. new BP" xfId="2432"/>
    <cellStyle name="—_GS Assumptions-F_34 Valuation Model incl. new BP" xfId="2433"/>
    <cellStyle name="—_GS Assumptions-F_37 Valuation Model incl. new BP" xfId="2434"/>
    <cellStyle name="—_GS Assumptions-F_38 Valuation Model incl. new BP" xfId="2435"/>
    <cellStyle name="—_GS Assumptions-F_39 Valuation Model incl. new BP" xfId="2436"/>
    <cellStyle name="—_GS Assumptions-F_40 Valuation Model incl. new BP" xfId="2437"/>
    <cellStyle name="—_GS Assumptions-F_44 Valuation Model incl. new BP" xfId="2438"/>
    <cellStyle name="—_GS Assumptions-F_Global Wireless1" xfId="2439"/>
    <cellStyle name="—_GS Assumptions-F_Global Wireless1_03 CSC May 20" xfId="2440"/>
    <cellStyle name="—_GS Assumptions-F_Global Wireless1_03 CSC May 20_03_ Clean LBO Model" xfId="2441"/>
    <cellStyle name="—_GS Assumptions-F_Global Wireless1_03 CSC May 20_05_ Clean LBO Model" xfId="2442"/>
    <cellStyle name="—_GS Assumptions-F_Global Wireless1_03 CSC May 20_08 Valuation Model incl. new BP" xfId="2443"/>
    <cellStyle name="—_GS Assumptions-F_Global Wireless1_03 CSC May 20_09 Valuation Model incl. new BP" xfId="2444"/>
    <cellStyle name="—_GS Assumptions-F_Global Wireless1_03 CSC May 20_13 Valuation Model incl. new BP" xfId="2445"/>
    <cellStyle name="—_GS Assumptions-F_Global Wireless1_03 CSC May 20_14 Valuation Model incl. new BP" xfId="2446"/>
    <cellStyle name="—_GS Assumptions-F_Global Wireless1_03 CSC May 20_15_ Clean LBO Model" xfId="2447"/>
    <cellStyle name="—_GS Assumptions-F_Global Wireless1_03 CSC May 20_20 Valuation Model incl. new BP" xfId="2448"/>
    <cellStyle name="—_GS Assumptions-F_Global Wireless1_03 CSC May 20_25 Valuation Model incl. new BP" xfId="2449"/>
    <cellStyle name="—_GS Assumptions-F_Global Wireless1_03 CSC May 20_33 Valuation Model incl. new BP" xfId="2450"/>
    <cellStyle name="—_GS Assumptions-F_Global Wireless1_03 CSC May 20_34 Valuation Model incl. new BP" xfId="2451"/>
    <cellStyle name="—_GS Assumptions-F_Global Wireless1_03 CSC May 20_37 Valuation Model incl. new BP" xfId="2452"/>
    <cellStyle name="—_GS Assumptions-F_Global Wireless1_03 CSC May 20_38 Valuation Model incl. new BP" xfId="2453"/>
    <cellStyle name="—_GS Assumptions-F_Global Wireless1_03 CSC May 20_39 Valuation Model incl. new BP" xfId="2454"/>
    <cellStyle name="—_GS Assumptions-F_Global Wireless1_03 CSC May 20_40 Valuation Model incl. new BP" xfId="2455"/>
    <cellStyle name="—_GS Assumptions-F_Global Wireless1_03 CSC May 20_44 Valuation Model incl. new BP" xfId="2456"/>
    <cellStyle name="—_GS Assumptions-F_Global Wireless1_03_ Clean LBO Model" xfId="2457"/>
    <cellStyle name="—_GS Assumptions-F_Global Wireless1_05_ Clean LBO Model" xfId="2458"/>
    <cellStyle name="—_GS Assumptions-F_Global Wireless1_08 Valuation Model incl. new BP" xfId="2459"/>
    <cellStyle name="—_GS Assumptions-F_Global Wireless1_09 Valuation Model incl. new BP" xfId="2460"/>
    <cellStyle name="—_GS Assumptions-F_Global Wireless1_13 Valuation Model incl. new BP" xfId="2461"/>
    <cellStyle name="—_GS Assumptions-F_Global Wireless1_14 Valuation Model incl. new BP" xfId="2462"/>
    <cellStyle name="—_GS Assumptions-F_Global Wireless1_15_ Clean LBO Model" xfId="2463"/>
    <cellStyle name="—_GS Assumptions-F_Global Wireless1_20 Valuation Model incl. new BP" xfId="2464"/>
    <cellStyle name="—_GS Assumptions-F_Global Wireless1_25 Valuation Model incl. new BP" xfId="2465"/>
    <cellStyle name="—_GS Assumptions-F_Global Wireless1_33 Valuation Model incl. new BP" xfId="2466"/>
    <cellStyle name="—_GS Assumptions-F_Global Wireless1_34 Valuation Model incl. new BP" xfId="2467"/>
    <cellStyle name="—_GS Assumptions-F_Global Wireless1_37 Valuation Model incl. new BP" xfId="2468"/>
    <cellStyle name="—_GS Assumptions-F_Global Wireless1_38 Valuation Model incl. new BP" xfId="2469"/>
    <cellStyle name="—_GS Assumptions-F_Global Wireless1_39 Valuation Model incl. new BP" xfId="2470"/>
    <cellStyle name="—_GS Assumptions-F_Global Wireless1_40 Valuation Model incl. new BP" xfId="2471"/>
    <cellStyle name="—_GS Assumptions-F_Global Wireless1_44 Valuation Model incl. new BP" xfId="2472"/>
    <cellStyle name="—_GS Assumptions-F_Global Wireless1_CSC May 20" xfId="2473"/>
    <cellStyle name="—_GS Assumptions-F_Global Wireless1_CSC May 20_03_ Clean LBO Model" xfId="2474"/>
    <cellStyle name="—_GS Assumptions-F_Global Wireless1_CSC May 20_05_ Clean LBO Model" xfId="2475"/>
    <cellStyle name="—_GS Assumptions-F_Global Wireless1_CSC May 20_08 Valuation Model incl. new BP" xfId="2476"/>
    <cellStyle name="—_GS Assumptions-F_Global Wireless1_CSC May 20_09 Valuation Model incl. new BP" xfId="2477"/>
    <cellStyle name="—_GS Assumptions-F_Global Wireless1_CSC May 20_13 Valuation Model incl. new BP" xfId="2478"/>
    <cellStyle name="—_GS Assumptions-F_Global Wireless1_CSC May 20_14 Valuation Model incl. new BP" xfId="2479"/>
    <cellStyle name="—_GS Assumptions-F_Global Wireless1_CSC May 20_15_ Clean LBO Model" xfId="2480"/>
    <cellStyle name="—_GS Assumptions-F_Global Wireless1_CSC May 20_20 Valuation Model incl. new BP" xfId="2481"/>
    <cellStyle name="—_GS Assumptions-F_Global Wireless1_CSC May 20_25 Valuation Model incl. new BP" xfId="2482"/>
    <cellStyle name="—_GS Assumptions-F_Global Wireless1_CSC May 20_33 Valuation Model incl. new BP" xfId="2483"/>
    <cellStyle name="—_GS Assumptions-F_Global Wireless1_CSC May 20_34 Valuation Model incl. new BP" xfId="2484"/>
    <cellStyle name="—_GS Assumptions-F_Global Wireless1_CSC May 20_37 Valuation Model incl. new BP" xfId="2485"/>
    <cellStyle name="—_GS Assumptions-F_Global Wireless1_CSC May 20_38 Valuation Model incl. new BP" xfId="2486"/>
    <cellStyle name="—_GS Assumptions-F_Global Wireless1_CSC May 20_39 Valuation Model incl. new BP" xfId="2487"/>
    <cellStyle name="—_GS Assumptions-F_Global Wireless1_CSC May 20_40 Valuation Model incl. new BP" xfId="2488"/>
    <cellStyle name="—_GS Assumptions-F_Global Wireless1_CSC May 20_44 Valuation Model incl. new BP" xfId="2489"/>
    <cellStyle name="—_GS_Balance" xfId="2490"/>
    <cellStyle name="—_GS_Balance_03_ Clean LBO Model" xfId="2491"/>
    <cellStyle name="—_GS_Balance_05_ Clean LBO Model" xfId="2492"/>
    <cellStyle name="—_GS_Balance_08 Valuation Model incl. new BP" xfId="2493"/>
    <cellStyle name="—_GS_Balance_09 Valuation Model incl. new BP" xfId="2494"/>
    <cellStyle name="—_GS_Balance_13 Valuation Model incl. new BP" xfId="2495"/>
    <cellStyle name="—_GS_Balance_14 Valuation Model incl. new BP" xfId="2496"/>
    <cellStyle name="—_GS_Balance_15_ Clean LBO Model" xfId="2497"/>
    <cellStyle name="—_GS_Balance_20 Valuation Model incl. new BP" xfId="2498"/>
    <cellStyle name="—_GS_Balance_25 Valuation Model incl. new BP" xfId="2499"/>
    <cellStyle name="—_GS_Balance_33 Valuation Model incl. new BP" xfId="2500"/>
    <cellStyle name="—_GS_Balance_34 Valuation Model incl. new BP" xfId="2501"/>
    <cellStyle name="—_GS_Balance_37 Valuation Model incl. new BP" xfId="2502"/>
    <cellStyle name="—_GS_Balance_38 Valuation Model incl. new BP" xfId="2503"/>
    <cellStyle name="—_GS_Balance_39 Valuation Model incl. new BP" xfId="2504"/>
    <cellStyle name="—_GS_Balance_40 Valuation Model incl. new BP" xfId="2505"/>
    <cellStyle name="—_GS_Balance_44 Valuation Model incl. new BP" xfId="2506"/>
    <cellStyle name="—_GS_Balance_Global Wireless1" xfId="2507"/>
    <cellStyle name="—_GS_Balance_Global Wireless1_03 CSC May 20" xfId="2508"/>
    <cellStyle name="—_GS_Balance_Global Wireless1_03 CSC May 20_03_ Clean LBO Model" xfId="2509"/>
    <cellStyle name="—_GS_Balance_Global Wireless1_03 CSC May 20_05_ Clean LBO Model" xfId="2510"/>
    <cellStyle name="—_GS_Balance_Global Wireless1_03 CSC May 20_08 Valuation Model incl. new BP" xfId="2511"/>
    <cellStyle name="—_GS_Balance_Global Wireless1_03 CSC May 20_09 Valuation Model incl. new BP" xfId="2512"/>
    <cellStyle name="—_GS_Balance_Global Wireless1_03 CSC May 20_13 Valuation Model incl. new BP" xfId="2513"/>
    <cellStyle name="—_GS_Balance_Global Wireless1_03 CSC May 20_14 Valuation Model incl. new BP" xfId="2514"/>
    <cellStyle name="—_GS_Balance_Global Wireless1_03 CSC May 20_15_ Clean LBO Model" xfId="2515"/>
    <cellStyle name="—_GS_Balance_Global Wireless1_03 CSC May 20_20 Valuation Model incl. new BP" xfId="2516"/>
    <cellStyle name="—_GS_Balance_Global Wireless1_03 CSC May 20_25 Valuation Model incl. new BP" xfId="2517"/>
    <cellStyle name="—_GS_Balance_Global Wireless1_03 CSC May 20_33 Valuation Model incl. new BP" xfId="2518"/>
    <cellStyle name="—_GS_Balance_Global Wireless1_03 CSC May 20_34 Valuation Model incl. new BP" xfId="2519"/>
    <cellStyle name="—_GS_Balance_Global Wireless1_03 CSC May 20_37 Valuation Model incl. new BP" xfId="2520"/>
    <cellStyle name="—_GS_Balance_Global Wireless1_03 CSC May 20_38 Valuation Model incl. new BP" xfId="2521"/>
    <cellStyle name="—_GS_Balance_Global Wireless1_03 CSC May 20_39 Valuation Model incl. new BP" xfId="2522"/>
    <cellStyle name="—_GS_Balance_Global Wireless1_03 CSC May 20_40 Valuation Model incl. new BP" xfId="2523"/>
    <cellStyle name="—_GS_Balance_Global Wireless1_03 CSC May 20_44 Valuation Model incl. new BP" xfId="2524"/>
    <cellStyle name="—_GS_Balance_Global Wireless1_03_ Clean LBO Model" xfId="2525"/>
    <cellStyle name="—_GS_Balance_Global Wireless1_05_ Clean LBO Model" xfId="2526"/>
    <cellStyle name="—_GS_Balance_Global Wireless1_08 Valuation Model incl. new BP" xfId="2527"/>
    <cellStyle name="—_GS_Balance_Global Wireless1_09 Valuation Model incl. new BP" xfId="2528"/>
    <cellStyle name="—_GS_Balance_Global Wireless1_13 Valuation Model incl. new BP" xfId="2529"/>
    <cellStyle name="—_GS_Balance_Global Wireless1_14 Valuation Model incl. new BP" xfId="2530"/>
    <cellStyle name="—_GS_Balance_Global Wireless1_15_ Clean LBO Model" xfId="2531"/>
    <cellStyle name="—_GS_Balance_Global Wireless1_20 Valuation Model incl. new BP" xfId="2532"/>
    <cellStyle name="—_GS_Balance_Global Wireless1_25 Valuation Model incl. new BP" xfId="2533"/>
    <cellStyle name="—_GS_Balance_Global Wireless1_33 Valuation Model incl. new BP" xfId="2534"/>
    <cellStyle name="—_GS_Balance_Global Wireless1_34 Valuation Model incl. new BP" xfId="2535"/>
    <cellStyle name="—_GS_Balance_Global Wireless1_37 Valuation Model incl. new BP" xfId="2536"/>
    <cellStyle name="—_GS_Balance_Global Wireless1_38 Valuation Model incl. new BP" xfId="2537"/>
    <cellStyle name="—_GS_Balance_Global Wireless1_39 Valuation Model incl. new BP" xfId="2538"/>
    <cellStyle name="—_GS_Balance_Global Wireless1_40 Valuation Model incl. new BP" xfId="2539"/>
    <cellStyle name="—_GS_Balance_Global Wireless1_44 Valuation Model incl. new BP" xfId="2540"/>
    <cellStyle name="—_GS_Balance_Global Wireless1_CSC May 20" xfId="2541"/>
    <cellStyle name="—_GS_Balance_Global Wireless1_CSC May 20_03_ Clean LBO Model" xfId="2542"/>
    <cellStyle name="—_GS_Balance_Global Wireless1_CSC May 20_05_ Clean LBO Model" xfId="2543"/>
    <cellStyle name="—_GS_Balance_Global Wireless1_CSC May 20_08 Valuation Model incl. new BP" xfId="2544"/>
    <cellStyle name="—_GS_Balance_Global Wireless1_CSC May 20_09 Valuation Model incl. new BP" xfId="2545"/>
    <cellStyle name="—_GS_Balance_Global Wireless1_CSC May 20_13 Valuation Model incl. new BP" xfId="2546"/>
    <cellStyle name="—_GS_Balance_Global Wireless1_CSC May 20_14 Valuation Model incl. new BP" xfId="2547"/>
    <cellStyle name="—_GS_Balance_Global Wireless1_CSC May 20_15_ Clean LBO Model" xfId="2548"/>
    <cellStyle name="—_GS_Balance_Global Wireless1_CSC May 20_20 Valuation Model incl. new BP" xfId="2549"/>
    <cellStyle name="—_GS_Balance_Global Wireless1_CSC May 20_25 Valuation Model incl. new BP" xfId="2550"/>
    <cellStyle name="—_GS_Balance_Global Wireless1_CSC May 20_33 Valuation Model incl. new BP" xfId="2551"/>
    <cellStyle name="—_GS_Balance_Global Wireless1_CSC May 20_34 Valuation Model incl. new BP" xfId="2552"/>
    <cellStyle name="—_GS_Balance_Global Wireless1_CSC May 20_37 Valuation Model incl. new BP" xfId="2553"/>
    <cellStyle name="—_GS_Balance_Global Wireless1_CSC May 20_38 Valuation Model incl. new BP" xfId="2554"/>
    <cellStyle name="—_GS_Balance_Global Wireless1_CSC May 20_39 Valuation Model incl. new BP" xfId="2555"/>
    <cellStyle name="—_GS_Balance_Global Wireless1_CSC May 20_40 Valuation Model incl. new BP" xfId="2556"/>
    <cellStyle name="—_GS_Balance_Global Wireless1_CSC May 20_44 Valuation Model incl. new BP" xfId="2557"/>
    <cellStyle name="—_GS_Cash " xfId="2558"/>
    <cellStyle name="—_GS_Cash  (2)" xfId="2559"/>
    <cellStyle name="—_GS_Cash  (2)_03_ Clean LBO Model" xfId="2560"/>
    <cellStyle name="—_GS_Cash  (2)_05_ Clean LBO Model" xfId="2561"/>
    <cellStyle name="—_GS_Cash  (2)_08 Valuation Model incl. new BP" xfId="2562"/>
    <cellStyle name="—_GS_Cash  (2)_09 Valuation Model incl. new BP" xfId="2563"/>
    <cellStyle name="—_GS_Cash  (2)_13 Valuation Model incl. new BP" xfId="2564"/>
    <cellStyle name="—_GS_Cash  (2)_14 Valuation Model incl. new BP" xfId="2565"/>
    <cellStyle name="—_GS_Cash  (2)_15_ Clean LBO Model" xfId="2566"/>
    <cellStyle name="—_GS_Cash  (2)_20 Valuation Model incl. new BP" xfId="2567"/>
    <cellStyle name="—_GS_Cash  (2)_25 Valuation Model incl. new BP" xfId="2568"/>
    <cellStyle name="—_GS_Cash  (2)_33 Valuation Model incl. new BP" xfId="2569"/>
    <cellStyle name="—_GS_Cash  (2)_34 Valuation Model incl. new BP" xfId="2570"/>
    <cellStyle name="—_GS_Cash  (2)_37 Valuation Model incl. new BP" xfId="2571"/>
    <cellStyle name="—_GS_Cash  (2)_38 Valuation Model incl. new BP" xfId="2572"/>
    <cellStyle name="—_GS_Cash  (2)_39 Valuation Model incl. new BP" xfId="2573"/>
    <cellStyle name="—_GS_Cash  (2)_40 Valuation Model incl. new BP" xfId="2574"/>
    <cellStyle name="—_GS_Cash  (2)_44 Valuation Model incl. new BP" xfId="2575"/>
    <cellStyle name="—_GS_Cash  (2)_Global Wireless1" xfId="2576"/>
    <cellStyle name="—_GS_Cash  (2)_Global Wireless1_03 CSC May 20" xfId="2577"/>
    <cellStyle name="—_GS_Cash  (2)_Global Wireless1_03 CSC May 20_03_ Clean LBO Model" xfId="2578"/>
    <cellStyle name="—_GS_Cash  (2)_Global Wireless1_03 CSC May 20_05_ Clean LBO Model" xfId="2579"/>
    <cellStyle name="—_GS_Cash  (2)_Global Wireless1_03 CSC May 20_08 Valuation Model incl. new BP" xfId="2580"/>
    <cellStyle name="—_GS_Cash  (2)_Global Wireless1_03 CSC May 20_09 Valuation Model incl. new BP" xfId="2581"/>
    <cellStyle name="—_GS_Cash  (2)_Global Wireless1_03 CSC May 20_13 Valuation Model incl. new BP" xfId="2582"/>
    <cellStyle name="—_GS_Cash  (2)_Global Wireless1_03 CSC May 20_14 Valuation Model incl. new BP" xfId="2583"/>
    <cellStyle name="—_GS_Cash  (2)_Global Wireless1_03 CSC May 20_15_ Clean LBO Model" xfId="2584"/>
    <cellStyle name="—_GS_Cash  (2)_Global Wireless1_03 CSC May 20_20 Valuation Model incl. new BP" xfId="2585"/>
    <cellStyle name="—_GS_Cash  (2)_Global Wireless1_03 CSC May 20_25 Valuation Model incl. new BP" xfId="2586"/>
    <cellStyle name="—_GS_Cash  (2)_Global Wireless1_03 CSC May 20_33 Valuation Model incl. new BP" xfId="2587"/>
    <cellStyle name="—_GS_Cash  (2)_Global Wireless1_03 CSC May 20_34 Valuation Model incl. new BP" xfId="2588"/>
    <cellStyle name="—_GS_Cash  (2)_Global Wireless1_03 CSC May 20_37 Valuation Model incl. new BP" xfId="2589"/>
    <cellStyle name="—_GS_Cash  (2)_Global Wireless1_03 CSC May 20_38 Valuation Model incl. new BP" xfId="2590"/>
    <cellStyle name="—_GS_Cash  (2)_Global Wireless1_03 CSC May 20_39 Valuation Model incl. new BP" xfId="2591"/>
    <cellStyle name="—_GS_Cash  (2)_Global Wireless1_03 CSC May 20_40 Valuation Model incl. new BP" xfId="2592"/>
    <cellStyle name="—_GS_Cash  (2)_Global Wireless1_03 CSC May 20_44 Valuation Model incl. new BP" xfId="2593"/>
    <cellStyle name="—_GS_Cash  (2)_Global Wireless1_03_ Clean LBO Model" xfId="2594"/>
    <cellStyle name="—_GS_Cash  (2)_Global Wireless1_05_ Clean LBO Model" xfId="2595"/>
    <cellStyle name="—_GS_Cash  (2)_Global Wireless1_08 Valuation Model incl. new BP" xfId="2596"/>
    <cellStyle name="—_GS_Cash  (2)_Global Wireless1_09 Valuation Model incl. new BP" xfId="2597"/>
    <cellStyle name="—_GS_Cash  (2)_Global Wireless1_13 Valuation Model incl. new BP" xfId="2598"/>
    <cellStyle name="—_GS_Cash  (2)_Global Wireless1_14 Valuation Model incl. new BP" xfId="2599"/>
    <cellStyle name="—_GS_Cash  (2)_Global Wireless1_15_ Clean LBO Model" xfId="2600"/>
    <cellStyle name="—_GS_Cash  (2)_Global Wireless1_20 Valuation Model incl. new BP" xfId="2601"/>
    <cellStyle name="—_GS_Cash  (2)_Global Wireless1_25 Valuation Model incl. new BP" xfId="2602"/>
    <cellStyle name="—_GS_Cash  (2)_Global Wireless1_33 Valuation Model incl. new BP" xfId="2603"/>
    <cellStyle name="—_GS_Cash  (2)_Global Wireless1_34 Valuation Model incl. new BP" xfId="2604"/>
    <cellStyle name="—_GS_Cash  (2)_Global Wireless1_37 Valuation Model incl. new BP" xfId="2605"/>
    <cellStyle name="—_GS_Cash  (2)_Global Wireless1_38 Valuation Model incl. new BP" xfId="2606"/>
    <cellStyle name="—_GS_Cash  (2)_Global Wireless1_39 Valuation Model incl. new BP" xfId="2607"/>
    <cellStyle name="—_GS_Cash  (2)_Global Wireless1_40 Valuation Model incl. new BP" xfId="2608"/>
    <cellStyle name="—_GS_Cash  (2)_Global Wireless1_44 Valuation Model incl. new BP" xfId="2609"/>
    <cellStyle name="—_GS_Cash  (2)_Global Wireless1_CSC May 20" xfId="2610"/>
    <cellStyle name="—_GS_Cash  (2)_Global Wireless1_CSC May 20_03_ Clean LBO Model" xfId="2611"/>
    <cellStyle name="—_GS_Cash  (2)_Global Wireless1_CSC May 20_05_ Clean LBO Model" xfId="2612"/>
    <cellStyle name="—_GS_Cash  (2)_Global Wireless1_CSC May 20_08 Valuation Model incl. new BP" xfId="2613"/>
    <cellStyle name="—_GS_Cash  (2)_Global Wireless1_CSC May 20_09 Valuation Model incl. new BP" xfId="2614"/>
    <cellStyle name="—_GS_Cash  (2)_Global Wireless1_CSC May 20_13 Valuation Model incl. new BP" xfId="2615"/>
    <cellStyle name="—_GS_Cash  (2)_Global Wireless1_CSC May 20_14 Valuation Model incl. new BP" xfId="2616"/>
    <cellStyle name="—_GS_Cash  (2)_Global Wireless1_CSC May 20_15_ Clean LBO Model" xfId="2617"/>
    <cellStyle name="—_GS_Cash  (2)_Global Wireless1_CSC May 20_20 Valuation Model incl. new BP" xfId="2618"/>
    <cellStyle name="—_GS_Cash  (2)_Global Wireless1_CSC May 20_25 Valuation Model incl. new BP" xfId="2619"/>
    <cellStyle name="—_GS_Cash  (2)_Global Wireless1_CSC May 20_33 Valuation Model incl. new BP" xfId="2620"/>
    <cellStyle name="—_GS_Cash  (2)_Global Wireless1_CSC May 20_34 Valuation Model incl. new BP" xfId="2621"/>
    <cellStyle name="—_GS_Cash  (2)_Global Wireless1_CSC May 20_37 Valuation Model incl. new BP" xfId="2622"/>
    <cellStyle name="—_GS_Cash  (2)_Global Wireless1_CSC May 20_38 Valuation Model incl. new BP" xfId="2623"/>
    <cellStyle name="—_GS_Cash  (2)_Global Wireless1_CSC May 20_39 Valuation Model incl. new BP" xfId="2624"/>
    <cellStyle name="—_GS_Cash  (2)_Global Wireless1_CSC May 20_40 Valuation Model incl. new BP" xfId="2625"/>
    <cellStyle name="—_GS_Cash  (2)_Global Wireless1_CSC May 20_44 Valuation Model incl. new BP" xfId="2626"/>
    <cellStyle name="—_GS_Cash _03_ Clean LBO Model" xfId="2627"/>
    <cellStyle name="—_GS_Cash _05_ Clean LBO Model" xfId="2628"/>
    <cellStyle name="—_GS_Cash _08 Valuation Model incl. new BP" xfId="2629"/>
    <cellStyle name="—_GS_Cash _09 Valuation Model incl. new BP" xfId="2630"/>
    <cellStyle name="—_GS_Cash _13 Valuation Model incl. new BP" xfId="2631"/>
    <cellStyle name="—_GS_Cash _14 Valuation Model incl. new BP" xfId="2632"/>
    <cellStyle name="—_GS_Cash _15_ Clean LBO Model" xfId="2633"/>
    <cellStyle name="—_GS_Cash _20 Valuation Model incl. new BP" xfId="2634"/>
    <cellStyle name="—_GS_Cash _25 Valuation Model incl. new BP" xfId="2635"/>
    <cellStyle name="—_GS_Cash _33 Valuation Model incl. new BP" xfId="2636"/>
    <cellStyle name="—_GS_Cash _34 Valuation Model incl. new BP" xfId="2637"/>
    <cellStyle name="—_GS_Cash _37 Valuation Model incl. new BP" xfId="2638"/>
    <cellStyle name="—_GS_Cash _38 Valuation Model incl. new BP" xfId="2639"/>
    <cellStyle name="—_GS_Cash _39 Valuation Model incl. new BP" xfId="2640"/>
    <cellStyle name="—_GS_Cash _40 Valuation Model incl. new BP" xfId="2641"/>
    <cellStyle name="—_GS_Cash _44 Valuation Model incl. new BP" xfId="2642"/>
    <cellStyle name="—_GS_Cash _Global Wireless1" xfId="2643"/>
    <cellStyle name="—_GS_Cash _Global Wireless1_03 CSC May 20" xfId="2644"/>
    <cellStyle name="—_GS_Cash _Global Wireless1_03 CSC May 20_03_ Clean LBO Model" xfId="2645"/>
    <cellStyle name="—_GS_Cash _Global Wireless1_03 CSC May 20_05_ Clean LBO Model" xfId="2646"/>
    <cellStyle name="—_GS_Cash _Global Wireless1_03 CSC May 20_08 Valuation Model incl. new BP" xfId="2647"/>
    <cellStyle name="—_GS_Cash _Global Wireless1_03 CSC May 20_09 Valuation Model incl. new BP" xfId="2648"/>
    <cellStyle name="—_GS_Cash _Global Wireless1_03 CSC May 20_13 Valuation Model incl. new BP" xfId="2649"/>
    <cellStyle name="—_GS_Cash _Global Wireless1_03 CSC May 20_14 Valuation Model incl. new BP" xfId="2650"/>
    <cellStyle name="—_GS_Cash _Global Wireless1_03 CSC May 20_15_ Clean LBO Model" xfId="2651"/>
    <cellStyle name="—_GS_Cash _Global Wireless1_03 CSC May 20_20 Valuation Model incl. new BP" xfId="2652"/>
    <cellStyle name="—_GS_Cash _Global Wireless1_03 CSC May 20_25 Valuation Model incl. new BP" xfId="2653"/>
    <cellStyle name="—_GS_Cash _Global Wireless1_03 CSC May 20_33 Valuation Model incl. new BP" xfId="2654"/>
    <cellStyle name="—_GS_Cash _Global Wireless1_03 CSC May 20_34 Valuation Model incl. new BP" xfId="2655"/>
    <cellStyle name="—_GS_Cash _Global Wireless1_03 CSC May 20_37 Valuation Model incl. new BP" xfId="2656"/>
    <cellStyle name="—_GS_Cash _Global Wireless1_03 CSC May 20_38 Valuation Model incl. new BP" xfId="2657"/>
    <cellStyle name="—_GS_Cash _Global Wireless1_03 CSC May 20_39 Valuation Model incl. new BP" xfId="2658"/>
    <cellStyle name="—_GS_Cash _Global Wireless1_03 CSC May 20_40 Valuation Model incl. new BP" xfId="2659"/>
    <cellStyle name="—_GS_Cash _Global Wireless1_03 CSC May 20_44 Valuation Model incl. new BP" xfId="2660"/>
    <cellStyle name="—_GS_Cash _Global Wireless1_03_ Clean LBO Model" xfId="2661"/>
    <cellStyle name="—_GS_Cash _Global Wireless1_05_ Clean LBO Model" xfId="2662"/>
    <cellStyle name="—_GS_Cash _Global Wireless1_08 Valuation Model incl. new BP" xfId="2663"/>
    <cellStyle name="—_GS_Cash _Global Wireless1_09 Valuation Model incl. new BP" xfId="2664"/>
    <cellStyle name="—_GS_Cash _Global Wireless1_13 Valuation Model incl. new BP" xfId="2665"/>
    <cellStyle name="—_GS_Cash _Global Wireless1_14 Valuation Model incl. new BP" xfId="2666"/>
    <cellStyle name="—_GS_Cash _Global Wireless1_15_ Clean LBO Model" xfId="2667"/>
    <cellStyle name="—_GS_Cash _Global Wireless1_20 Valuation Model incl. new BP" xfId="2668"/>
    <cellStyle name="—_GS_Cash _Global Wireless1_25 Valuation Model incl. new BP" xfId="2669"/>
    <cellStyle name="—_GS_Cash _Global Wireless1_33 Valuation Model incl. new BP" xfId="2670"/>
    <cellStyle name="—_GS_Cash _Global Wireless1_34 Valuation Model incl. new BP" xfId="2671"/>
    <cellStyle name="—_GS_Cash _Global Wireless1_37 Valuation Model incl. new BP" xfId="2672"/>
    <cellStyle name="—_GS_Cash _Global Wireless1_38 Valuation Model incl. new BP" xfId="2673"/>
    <cellStyle name="—_GS_Cash _Global Wireless1_39 Valuation Model incl. new BP" xfId="2674"/>
    <cellStyle name="—_GS_Cash _Global Wireless1_40 Valuation Model incl. new BP" xfId="2675"/>
    <cellStyle name="—_GS_Cash _Global Wireless1_44 Valuation Model incl. new BP" xfId="2676"/>
    <cellStyle name="—_GS_Cash _Global Wireless1_CSC May 20" xfId="2677"/>
    <cellStyle name="—_GS_Cash _Global Wireless1_CSC May 20_03_ Clean LBO Model" xfId="2678"/>
    <cellStyle name="—_GS_Cash _Global Wireless1_CSC May 20_05_ Clean LBO Model" xfId="2679"/>
    <cellStyle name="—_GS_Cash _Global Wireless1_CSC May 20_08 Valuation Model incl. new BP" xfId="2680"/>
    <cellStyle name="—_GS_Cash _Global Wireless1_CSC May 20_09 Valuation Model incl. new BP" xfId="2681"/>
    <cellStyle name="—_GS_Cash _Global Wireless1_CSC May 20_13 Valuation Model incl. new BP" xfId="2682"/>
    <cellStyle name="—_GS_Cash _Global Wireless1_CSC May 20_14 Valuation Model incl. new BP" xfId="2683"/>
    <cellStyle name="—_GS_Cash _Global Wireless1_CSC May 20_15_ Clean LBO Model" xfId="2684"/>
    <cellStyle name="—_GS_Cash _Global Wireless1_CSC May 20_20 Valuation Model incl. new BP" xfId="2685"/>
    <cellStyle name="—_GS_Cash _Global Wireless1_CSC May 20_25 Valuation Model incl. new BP" xfId="2686"/>
    <cellStyle name="—_GS_Cash _Global Wireless1_CSC May 20_33 Valuation Model incl. new BP" xfId="2687"/>
    <cellStyle name="—_GS_Cash _Global Wireless1_CSC May 20_34 Valuation Model incl. new BP" xfId="2688"/>
    <cellStyle name="—_GS_Cash _Global Wireless1_CSC May 20_37 Valuation Model incl. new BP" xfId="2689"/>
    <cellStyle name="—_GS_Cash _Global Wireless1_CSC May 20_38 Valuation Model incl. new BP" xfId="2690"/>
    <cellStyle name="—_GS_Cash _Global Wireless1_CSC May 20_39 Valuation Model incl. new BP" xfId="2691"/>
    <cellStyle name="—_GS_Cash _Global Wireless1_CSC May 20_40 Valuation Model incl. new BP" xfId="2692"/>
    <cellStyle name="—_GS_Cash _Global Wireless1_CSC May 20_44 Valuation Model incl. new BP" xfId="2693"/>
    <cellStyle name="—_GS_DCF" xfId="2694"/>
    <cellStyle name="—_GS_DCF_03_ Clean LBO Model" xfId="2695"/>
    <cellStyle name="—_GS_DCF_05_ Clean LBO Model" xfId="2696"/>
    <cellStyle name="—_GS_DCF_08 Valuation Model incl. new BP" xfId="2697"/>
    <cellStyle name="—_GS_DCF_09 Valuation Model incl. new BP" xfId="2698"/>
    <cellStyle name="—_GS_DCF_13 Valuation Model incl. new BP" xfId="2699"/>
    <cellStyle name="—_GS_DCF_14 Valuation Model incl. new BP" xfId="2700"/>
    <cellStyle name="—_GS_DCF_15_ Clean LBO Model" xfId="2701"/>
    <cellStyle name="—_GS_DCF_20 Valuation Model incl. new BP" xfId="2702"/>
    <cellStyle name="—_GS_DCF_25 Valuation Model incl. new BP" xfId="2703"/>
    <cellStyle name="—_GS_DCF_33 Valuation Model incl. new BP" xfId="2704"/>
    <cellStyle name="—_GS_DCF_34 Valuation Model incl. new BP" xfId="2705"/>
    <cellStyle name="—_GS_DCF_37 Valuation Model incl. new BP" xfId="2706"/>
    <cellStyle name="—_GS_DCF_38 Valuation Model incl. new BP" xfId="2707"/>
    <cellStyle name="—_GS_DCF_39 Valuation Model incl. new BP" xfId="2708"/>
    <cellStyle name="—_GS_DCF_40 Valuation Model incl. new BP" xfId="2709"/>
    <cellStyle name="—_GS_DCF_44 Valuation Model incl. new BP" xfId="2710"/>
    <cellStyle name="—_GS_DCF_Global Wireless1" xfId="2711"/>
    <cellStyle name="—_GS_DCF_Global Wireless1_03 CSC May 20" xfId="2712"/>
    <cellStyle name="—_GS_DCF_Global Wireless1_03 CSC May 20_03_ Clean LBO Model" xfId="2713"/>
    <cellStyle name="—_GS_DCF_Global Wireless1_03 CSC May 20_05_ Clean LBO Model" xfId="2714"/>
    <cellStyle name="—_GS_DCF_Global Wireless1_03 CSC May 20_08 Valuation Model incl. new BP" xfId="2715"/>
    <cellStyle name="—_GS_DCF_Global Wireless1_03 CSC May 20_09 Valuation Model incl. new BP" xfId="2716"/>
    <cellStyle name="—_GS_DCF_Global Wireless1_03 CSC May 20_13 Valuation Model incl. new BP" xfId="2717"/>
    <cellStyle name="—_GS_DCF_Global Wireless1_03 CSC May 20_14 Valuation Model incl. new BP" xfId="2718"/>
    <cellStyle name="—_GS_DCF_Global Wireless1_03 CSC May 20_15_ Clean LBO Model" xfId="2719"/>
    <cellStyle name="—_GS_DCF_Global Wireless1_03 CSC May 20_20 Valuation Model incl. new BP" xfId="2720"/>
    <cellStyle name="—_GS_DCF_Global Wireless1_03 CSC May 20_25 Valuation Model incl. new BP" xfId="2721"/>
    <cellStyle name="—_GS_DCF_Global Wireless1_03 CSC May 20_33 Valuation Model incl. new BP" xfId="2722"/>
    <cellStyle name="—_GS_DCF_Global Wireless1_03 CSC May 20_34 Valuation Model incl. new BP" xfId="2723"/>
    <cellStyle name="—_GS_DCF_Global Wireless1_03 CSC May 20_37 Valuation Model incl. new BP" xfId="2724"/>
    <cellStyle name="—_GS_DCF_Global Wireless1_03 CSC May 20_38 Valuation Model incl. new BP" xfId="2725"/>
    <cellStyle name="—_GS_DCF_Global Wireless1_03 CSC May 20_39 Valuation Model incl. new BP" xfId="2726"/>
    <cellStyle name="—_GS_DCF_Global Wireless1_03 CSC May 20_40 Valuation Model incl. new BP" xfId="2727"/>
    <cellStyle name="—_GS_DCF_Global Wireless1_03 CSC May 20_44 Valuation Model incl. new BP" xfId="2728"/>
    <cellStyle name="—_GS_DCF_Global Wireless1_03_ Clean LBO Model" xfId="2729"/>
    <cellStyle name="—_GS_DCF_Global Wireless1_05_ Clean LBO Model" xfId="2730"/>
    <cellStyle name="—_GS_DCF_Global Wireless1_08 Valuation Model incl. new BP" xfId="2731"/>
    <cellStyle name="—_GS_DCF_Global Wireless1_09 Valuation Model incl. new BP" xfId="2732"/>
    <cellStyle name="—_GS_DCF_Global Wireless1_13 Valuation Model incl. new BP" xfId="2733"/>
    <cellStyle name="—_GS_DCF_Global Wireless1_14 Valuation Model incl. new BP" xfId="2734"/>
    <cellStyle name="—_GS_DCF_Global Wireless1_15_ Clean LBO Model" xfId="2735"/>
    <cellStyle name="—_GS_DCF_Global Wireless1_20 Valuation Model incl. new BP" xfId="2736"/>
    <cellStyle name="—_GS_DCF_Global Wireless1_25 Valuation Model incl. new BP" xfId="2737"/>
    <cellStyle name="—_GS_DCF_Global Wireless1_33 Valuation Model incl. new BP" xfId="2738"/>
    <cellStyle name="—_GS_DCF_Global Wireless1_34 Valuation Model incl. new BP" xfId="2739"/>
    <cellStyle name="—_GS_DCF_Global Wireless1_37 Valuation Model incl. new BP" xfId="2740"/>
    <cellStyle name="—_GS_DCF_Global Wireless1_38 Valuation Model incl. new BP" xfId="2741"/>
    <cellStyle name="—_GS_DCF_Global Wireless1_39 Valuation Model incl. new BP" xfId="2742"/>
    <cellStyle name="—_GS_DCF_Global Wireless1_40 Valuation Model incl. new BP" xfId="2743"/>
    <cellStyle name="—_GS_DCF_Global Wireless1_44 Valuation Model incl. new BP" xfId="2744"/>
    <cellStyle name="—_GS_DCF_Global Wireless1_CSC May 20" xfId="2745"/>
    <cellStyle name="—_GS_DCF_Global Wireless1_CSC May 20_03_ Clean LBO Model" xfId="2746"/>
    <cellStyle name="—_GS_DCF_Global Wireless1_CSC May 20_05_ Clean LBO Model" xfId="2747"/>
    <cellStyle name="—_GS_DCF_Global Wireless1_CSC May 20_08 Valuation Model incl. new BP" xfId="2748"/>
    <cellStyle name="—_GS_DCF_Global Wireless1_CSC May 20_09 Valuation Model incl. new BP" xfId="2749"/>
    <cellStyle name="—_GS_DCF_Global Wireless1_CSC May 20_13 Valuation Model incl. new BP" xfId="2750"/>
    <cellStyle name="—_GS_DCF_Global Wireless1_CSC May 20_14 Valuation Model incl. new BP" xfId="2751"/>
    <cellStyle name="—_GS_DCF_Global Wireless1_CSC May 20_15_ Clean LBO Model" xfId="2752"/>
    <cellStyle name="—_GS_DCF_Global Wireless1_CSC May 20_20 Valuation Model incl. new BP" xfId="2753"/>
    <cellStyle name="—_GS_DCF_Global Wireless1_CSC May 20_25 Valuation Model incl. new BP" xfId="2754"/>
    <cellStyle name="—_GS_DCF_Global Wireless1_CSC May 20_33 Valuation Model incl. new BP" xfId="2755"/>
    <cellStyle name="—_GS_DCF_Global Wireless1_CSC May 20_34 Valuation Model incl. new BP" xfId="2756"/>
    <cellStyle name="—_GS_DCF_Global Wireless1_CSC May 20_37 Valuation Model incl. new BP" xfId="2757"/>
    <cellStyle name="—_GS_DCF_Global Wireless1_CSC May 20_38 Valuation Model incl. new BP" xfId="2758"/>
    <cellStyle name="—_GS_DCF_Global Wireless1_CSC May 20_39 Valuation Model incl. new BP" xfId="2759"/>
    <cellStyle name="—_GS_DCF_Global Wireless1_CSC May 20_40 Valuation Model incl. new BP" xfId="2760"/>
    <cellStyle name="—_GS_DCF_Global Wireless1_CSC May 20_44 Valuation Model incl. new BP" xfId="2761"/>
    <cellStyle name="—_GS_PNL" xfId="2762"/>
    <cellStyle name="—_GS_PNL_03_ Clean LBO Model" xfId="2763"/>
    <cellStyle name="—_GS_PNL_05_ Clean LBO Model" xfId="2764"/>
    <cellStyle name="—_GS_PNL_08 Valuation Model incl. new BP" xfId="2765"/>
    <cellStyle name="—_GS_PNL_09 Valuation Model incl. new BP" xfId="2766"/>
    <cellStyle name="—_GS_PNL_13 Valuation Model incl. new BP" xfId="2767"/>
    <cellStyle name="—_GS_PNL_14 Valuation Model incl. new BP" xfId="2768"/>
    <cellStyle name="—_GS_PNL_15_ Clean LBO Model" xfId="2769"/>
    <cellStyle name="—_GS_PNL_20 Valuation Model incl. new BP" xfId="2770"/>
    <cellStyle name="—_GS_PNL_25 Valuation Model incl. new BP" xfId="2771"/>
    <cellStyle name="—_GS_PNL_33 Valuation Model incl. new BP" xfId="2772"/>
    <cellStyle name="—_GS_PNL_34 Valuation Model incl. new BP" xfId="2773"/>
    <cellStyle name="—_GS_PNL_37 Valuation Model incl. new BP" xfId="2774"/>
    <cellStyle name="—_GS_PNL_38 Valuation Model incl. new BP" xfId="2775"/>
    <cellStyle name="—_GS_PNL_39 Valuation Model incl. new BP" xfId="2776"/>
    <cellStyle name="—_GS_PNL_40 Valuation Model incl. new BP" xfId="2777"/>
    <cellStyle name="—_GS_PNL_44 Valuation Model incl. new BP" xfId="2778"/>
    <cellStyle name="—_GS_PNL_Global Wireless1" xfId="2779"/>
    <cellStyle name="—_GS_PNL_Global Wireless1_03 CSC May 20" xfId="2780"/>
    <cellStyle name="—_GS_PNL_Global Wireless1_03 CSC May 20_03_ Clean LBO Model" xfId="2781"/>
    <cellStyle name="—_GS_PNL_Global Wireless1_03 CSC May 20_05_ Clean LBO Model" xfId="2782"/>
    <cellStyle name="—_GS_PNL_Global Wireless1_03 CSC May 20_08 Valuation Model incl. new BP" xfId="2783"/>
    <cellStyle name="—_GS_PNL_Global Wireless1_03 CSC May 20_09 Valuation Model incl. new BP" xfId="2784"/>
    <cellStyle name="—_GS_PNL_Global Wireless1_03 CSC May 20_13 Valuation Model incl. new BP" xfId="2785"/>
    <cellStyle name="—_GS_PNL_Global Wireless1_03 CSC May 20_14 Valuation Model incl. new BP" xfId="2786"/>
    <cellStyle name="—_GS_PNL_Global Wireless1_03 CSC May 20_15_ Clean LBO Model" xfId="2787"/>
    <cellStyle name="—_GS_PNL_Global Wireless1_03 CSC May 20_20 Valuation Model incl. new BP" xfId="2788"/>
    <cellStyle name="—_GS_PNL_Global Wireless1_03 CSC May 20_25 Valuation Model incl. new BP" xfId="2789"/>
    <cellStyle name="—_GS_PNL_Global Wireless1_03 CSC May 20_33 Valuation Model incl. new BP" xfId="2790"/>
    <cellStyle name="—_GS_PNL_Global Wireless1_03 CSC May 20_34 Valuation Model incl. new BP" xfId="2791"/>
    <cellStyle name="—_GS_PNL_Global Wireless1_03 CSC May 20_37 Valuation Model incl. new BP" xfId="2792"/>
    <cellStyle name="—_GS_PNL_Global Wireless1_03 CSC May 20_38 Valuation Model incl. new BP" xfId="2793"/>
    <cellStyle name="—_GS_PNL_Global Wireless1_03 CSC May 20_39 Valuation Model incl. new BP" xfId="2794"/>
    <cellStyle name="—_GS_PNL_Global Wireless1_03 CSC May 20_40 Valuation Model incl. new BP" xfId="2795"/>
    <cellStyle name="—_GS_PNL_Global Wireless1_03 CSC May 20_44 Valuation Model incl. new BP" xfId="2796"/>
    <cellStyle name="—_GS_PNL_Global Wireless1_03_ Clean LBO Model" xfId="2797"/>
    <cellStyle name="—_GS_PNL_Global Wireless1_05_ Clean LBO Model" xfId="2798"/>
    <cellStyle name="—_GS_PNL_Global Wireless1_08 Valuation Model incl. new BP" xfId="2799"/>
    <cellStyle name="—_GS_PNL_Global Wireless1_09 Valuation Model incl. new BP" xfId="2800"/>
    <cellStyle name="—_GS_PNL_Global Wireless1_13 Valuation Model incl. new BP" xfId="2801"/>
    <cellStyle name="—_GS_PNL_Global Wireless1_14 Valuation Model incl. new BP" xfId="2802"/>
    <cellStyle name="—_GS_PNL_Global Wireless1_15_ Clean LBO Model" xfId="2803"/>
    <cellStyle name="—_GS_PNL_Global Wireless1_20 Valuation Model incl. new BP" xfId="2804"/>
    <cellStyle name="—_GS_PNL_Global Wireless1_25 Valuation Model incl. new BP" xfId="2805"/>
    <cellStyle name="—_GS_PNL_Global Wireless1_33 Valuation Model incl. new BP" xfId="2806"/>
    <cellStyle name="—_GS_PNL_Global Wireless1_34 Valuation Model incl. new BP" xfId="2807"/>
    <cellStyle name="—_GS_PNL_Global Wireless1_37 Valuation Model incl. new BP" xfId="2808"/>
    <cellStyle name="—_GS_PNL_Global Wireless1_38 Valuation Model incl. new BP" xfId="2809"/>
    <cellStyle name="—_GS_PNL_Global Wireless1_39 Valuation Model incl. new BP" xfId="2810"/>
    <cellStyle name="—_GS_PNL_Global Wireless1_40 Valuation Model incl. new BP" xfId="2811"/>
    <cellStyle name="—_GS_PNL_Global Wireless1_44 Valuation Model incl. new BP" xfId="2812"/>
    <cellStyle name="—_GS_PNL_Global Wireless1_CSC May 20" xfId="2813"/>
    <cellStyle name="—_GS_PNL_Global Wireless1_CSC May 20_03_ Clean LBO Model" xfId="2814"/>
    <cellStyle name="—_GS_PNL_Global Wireless1_CSC May 20_05_ Clean LBO Model" xfId="2815"/>
    <cellStyle name="—_GS_PNL_Global Wireless1_CSC May 20_08 Valuation Model incl. new BP" xfId="2816"/>
    <cellStyle name="—_GS_PNL_Global Wireless1_CSC May 20_09 Valuation Model incl. new BP" xfId="2817"/>
    <cellStyle name="—_GS_PNL_Global Wireless1_CSC May 20_13 Valuation Model incl. new BP" xfId="2818"/>
    <cellStyle name="—_GS_PNL_Global Wireless1_CSC May 20_14 Valuation Model incl. new BP" xfId="2819"/>
    <cellStyle name="—_GS_PNL_Global Wireless1_CSC May 20_15_ Clean LBO Model" xfId="2820"/>
    <cellStyle name="—_GS_PNL_Global Wireless1_CSC May 20_20 Valuation Model incl. new BP" xfId="2821"/>
    <cellStyle name="—_GS_PNL_Global Wireless1_CSC May 20_25 Valuation Model incl. new BP" xfId="2822"/>
    <cellStyle name="—_GS_PNL_Global Wireless1_CSC May 20_33 Valuation Model incl. new BP" xfId="2823"/>
    <cellStyle name="—_GS_PNL_Global Wireless1_CSC May 20_34 Valuation Model incl. new BP" xfId="2824"/>
    <cellStyle name="—_GS_PNL_Global Wireless1_CSC May 20_37 Valuation Model incl. new BP" xfId="2825"/>
    <cellStyle name="—_GS_PNL_Global Wireless1_CSC May 20_38 Valuation Model incl. new BP" xfId="2826"/>
    <cellStyle name="—_GS_PNL_Global Wireless1_CSC May 20_39 Valuation Model incl. new BP" xfId="2827"/>
    <cellStyle name="—_GS_PNL_Global Wireless1_CSC May 20_40 Valuation Model incl. new BP" xfId="2828"/>
    <cellStyle name="—_GS_PNL_Global Wireless1_CSC May 20_44 Valuation Model incl. new BP" xfId="2829"/>
    <cellStyle name="_Heading_01 Capital Structure" xfId="2830"/>
    <cellStyle name="_Heading_01 Capital Structure_03_ Clean LBO Model" xfId="2831"/>
    <cellStyle name="_Heading_01 Capital Structure_05_ Clean LBO Model" xfId="2832"/>
    <cellStyle name="_Heading_01 Capital Structure_08 Valuation Model incl. new BP" xfId="2833"/>
    <cellStyle name="_Heading_01 Capital Structure_09 Valuation Model incl. new BP" xfId="2834"/>
    <cellStyle name="_Heading_01 Capital Structure_13 Valuation Model incl. new BP" xfId="2835"/>
    <cellStyle name="_Heading_01 Capital Structure_14 Valuation Model incl. new BP" xfId="2836"/>
    <cellStyle name="_Heading_01 Capital Structure_15_ Clean LBO Model" xfId="2837"/>
    <cellStyle name="_Heading_01 Capital Structure_20 Valuation Model incl. new BP" xfId="2838"/>
    <cellStyle name="_Heading_01 Capital Structure_25 Valuation Model incl. new BP" xfId="2839"/>
    <cellStyle name="_Heading_01 Capital Structure_33 Valuation Model incl. new BP" xfId="2840"/>
    <cellStyle name="_Heading_01 Capital Structure_34 Valuation Model incl. new BP" xfId="2841"/>
    <cellStyle name="_Heading_01 Capital Structure_37 Valuation Model incl. new BP" xfId="2842"/>
    <cellStyle name="_Heading_01 Capital Structure_38 Valuation Model incl. new BP" xfId="2843"/>
    <cellStyle name="_Heading_01 Capital Structure_39 Valuation Model incl. new BP" xfId="2844"/>
    <cellStyle name="_Heading_01 Capital Structure_40 Valuation Model incl. new BP" xfId="2845"/>
    <cellStyle name="_Heading_01 Capital Structure_44 Valuation Model incl. new BP" xfId="2846"/>
    <cellStyle name="_Heading_01 Offering Breakdown" xfId="2847"/>
    <cellStyle name="_Heading_02 Enersys Merger Plan" xfId="2848"/>
    <cellStyle name="_Heading_02 Enersys Merger Plan_03_ Clean LBO Model" xfId="2849"/>
    <cellStyle name="_Heading_02 Enersys Merger Plan_05_ Clean LBO Model" xfId="2850"/>
    <cellStyle name="_Heading_02 Enersys Merger Plan_08 Valuation Model incl. new BP" xfId="2851"/>
    <cellStyle name="_Heading_02 Enersys Merger Plan_09 Valuation Model incl. new BP" xfId="2852"/>
    <cellStyle name="_Heading_02 Enersys Merger Plan_13 Valuation Model incl. new BP" xfId="2853"/>
    <cellStyle name="_Heading_02 Enersys Merger Plan_14 Valuation Model incl. new BP" xfId="2854"/>
    <cellStyle name="_Heading_02 Enersys Merger Plan_15_ Clean LBO Model" xfId="2855"/>
    <cellStyle name="_Heading_02 Enersys Merger Plan_20 Valuation Model incl. new BP" xfId="2856"/>
    <cellStyle name="_Heading_02 Enersys Merger Plan_25 Valuation Model incl. new BP" xfId="2857"/>
    <cellStyle name="_Heading_02 Enersys Merger Plan_33 Valuation Model incl. new BP" xfId="2858"/>
    <cellStyle name="_Heading_02 Enersys Merger Plan_34 Valuation Model incl. new BP" xfId="2859"/>
    <cellStyle name="_Heading_02 Enersys Merger Plan_37 Valuation Model incl. new BP" xfId="2860"/>
    <cellStyle name="_Heading_02 Enersys Merger Plan_38 Valuation Model incl. new BP" xfId="2861"/>
    <cellStyle name="_Heading_02 Enersys Merger Plan_39 Valuation Model incl. new BP" xfId="2862"/>
    <cellStyle name="_Heading_02 Enersys Merger Plan_40 Valuation Model incl. new BP" xfId="2863"/>
    <cellStyle name="_Heading_02 Enersys Merger Plan_44 Valuation Model incl. new BP" xfId="2864"/>
    <cellStyle name="_Heading_02 TDC Merger Plan" xfId="2865"/>
    <cellStyle name="_Heading_02 TDC Merger Plan_03_ Clean LBO Model" xfId="2866"/>
    <cellStyle name="_Heading_02 TDC Merger Plan_05_ Clean LBO Model" xfId="2867"/>
    <cellStyle name="_Heading_02 TDC Merger Plan_08 Valuation Model incl. new BP" xfId="2868"/>
    <cellStyle name="_Heading_02 TDC Merger Plan_09 Valuation Model incl. new BP" xfId="2869"/>
    <cellStyle name="_Heading_02 TDC Merger Plan_13 Valuation Model incl. new BP" xfId="2870"/>
    <cellStyle name="_Heading_02 TDC Merger Plan_14 Valuation Model incl. new BP" xfId="2871"/>
    <cellStyle name="_Heading_02 TDC Merger Plan_15_ Clean LBO Model" xfId="2872"/>
    <cellStyle name="_Heading_02 TDC Merger Plan_20 Valuation Model incl. new BP" xfId="2873"/>
    <cellStyle name="_Heading_02 TDC Merger Plan_25 Valuation Model incl. new BP" xfId="2874"/>
    <cellStyle name="_Heading_02 TDC Merger Plan_33 Valuation Model incl. new BP" xfId="2875"/>
    <cellStyle name="_Heading_02 TDC Merger Plan_34 Valuation Model incl. new BP" xfId="2876"/>
    <cellStyle name="_Heading_02 TDC Merger Plan_37 Valuation Model incl. new BP" xfId="2877"/>
    <cellStyle name="_Heading_02 TDC Merger Plan_38 Valuation Model incl. new BP" xfId="2878"/>
    <cellStyle name="_Heading_02 TDC Merger Plan_39 Valuation Model incl. new BP" xfId="2879"/>
    <cellStyle name="_Heading_02 TDC Merger Plan_40 Valuation Model incl. new BP" xfId="2880"/>
    <cellStyle name="_Heading_02 TDC Merger Plan_44 Valuation Model incl. new BP" xfId="2881"/>
    <cellStyle name="_Heading_03 Total Expenses" xfId="2882"/>
    <cellStyle name="_Heading_04 Volatility" xfId="2883"/>
    <cellStyle name="_Heading_19 Valuation of Cegetel" xfId="2884"/>
    <cellStyle name="_Heading_19 Valuation of Cegetel_03_ Clean LBO Model" xfId="2885"/>
    <cellStyle name="_Heading_19 Valuation of Cegetel_05_ Clean LBO Model" xfId="2886"/>
    <cellStyle name="_Heading_19 Valuation of Cegetel_08 Valuation Model incl. new BP" xfId="2887"/>
    <cellStyle name="_Heading_19 Valuation of Cegetel_09 Valuation Model incl. new BP" xfId="2888"/>
    <cellStyle name="_Heading_19 Valuation of Cegetel_13 Valuation Model incl. new BP" xfId="2889"/>
    <cellStyle name="_Heading_19 Valuation of Cegetel_14 Valuation Model incl. new BP" xfId="2890"/>
    <cellStyle name="_Heading_19 Valuation of Cegetel_15_ Clean LBO Model" xfId="2891"/>
    <cellStyle name="_Heading_19 Valuation of Cegetel_20 Valuation Model incl. new BP" xfId="2892"/>
    <cellStyle name="_Heading_19 Valuation of Cegetel_25 Valuation Model incl. new BP" xfId="2893"/>
    <cellStyle name="_Heading_19 Valuation of Cegetel_33 Valuation Model incl. new BP" xfId="2894"/>
    <cellStyle name="_Heading_19 Valuation of Cegetel_34 Valuation Model incl. new BP" xfId="2895"/>
    <cellStyle name="_Heading_19 Valuation of Cegetel_37 Valuation Model incl. new BP" xfId="2896"/>
    <cellStyle name="_Heading_19 Valuation of Cegetel_38 Valuation Model incl. new BP" xfId="2897"/>
    <cellStyle name="_Heading_19 Valuation of Cegetel_39 Valuation Model incl. new BP" xfId="2898"/>
    <cellStyle name="_Heading_19 Valuation of Cegetel_40 Valuation Model incl. new BP" xfId="2899"/>
    <cellStyle name="_Heading_19 Valuation of Cegetel_44 Valuation Model incl. new BP" xfId="2900"/>
    <cellStyle name="_Heading_20 Operational Model" xfId="2901"/>
    <cellStyle name="_Heading_44 Valuation Model incl. new BP" xfId="2902"/>
    <cellStyle name="_Heading_Numico GS Research Model 23-Aug-2002" xfId="2903"/>
    <cellStyle name="_Heading_Numico GS Research Model 23-Aug-2002_03_ Clean LBO Model" xfId="2904"/>
    <cellStyle name="_Heading_Numico GS Research Model 23-Aug-2002_05_ Clean LBO Model" xfId="2905"/>
    <cellStyle name="_Heading_Numico GS Research Model 23-Aug-2002_08 Valuation Model incl. new BP" xfId="2906"/>
    <cellStyle name="_Heading_Numico GS Research Model 23-Aug-2002_09 Valuation Model incl. new BP" xfId="2907"/>
    <cellStyle name="_Heading_Numico GS Research Model 23-Aug-2002_13 Valuation Model incl. new BP" xfId="2908"/>
    <cellStyle name="_Heading_Numico GS Research Model 23-Aug-2002_14 Valuation Model incl. new BP" xfId="2909"/>
    <cellStyle name="_Heading_Numico GS Research Model 23-Aug-2002_15_ Clean LBO Model" xfId="2910"/>
    <cellStyle name="_Heading_Numico GS Research Model 23-Aug-2002_20 Valuation Model incl. new BP" xfId="2911"/>
    <cellStyle name="_Heading_Numico GS Research Model 23-Aug-2002_25 Valuation Model incl. new BP" xfId="2912"/>
    <cellStyle name="_Heading_Numico GS Research Model 23-Aug-2002_33 Valuation Model incl. new BP" xfId="2913"/>
    <cellStyle name="_Heading_Numico GS Research Model 23-Aug-2002_34 Valuation Model incl. new BP" xfId="2914"/>
    <cellStyle name="_Heading_Numico GS Research Model 23-Aug-2002_37 Valuation Model incl. new BP" xfId="2915"/>
    <cellStyle name="_Heading_Numico GS Research Model 23-Aug-2002_38 Valuation Model incl. new BP" xfId="2916"/>
    <cellStyle name="_Heading_Numico GS Research Model 23-Aug-2002_39 Valuation Model incl. new BP" xfId="2917"/>
    <cellStyle name="_Heading_Numico GS Research Model 23-Aug-2002_40 Valuation Model incl. new BP" xfId="2918"/>
    <cellStyle name="_Heading_Numico GS Research Model 23-Aug-2002_44 Valuation Model incl. new BP" xfId="2919"/>
    <cellStyle name="_Heading_Numico GS Research Model 23-Aug-2002_CSC July 24" xfId="2920"/>
    <cellStyle name="_Heading_Offering Breakdown - 09-Jun -2005" xfId="2921"/>
    <cellStyle name="_Heading_Volatility" xfId="2922"/>
    <cellStyle name="_Headline" xfId="2923"/>
    <cellStyle name="_KPN Fixed" xfId="2924"/>
    <cellStyle name="_KPN-germany" xfId="2925"/>
    <cellStyle name="_KPN-germany_CSC July 24" xfId="2926"/>
    <cellStyle name="_KPN-germany_CSC July 24_03_ Clean LBO Model" xfId="2927"/>
    <cellStyle name="_KPN-germany_CSC July 24_05_ Clean LBO Model" xfId="2928"/>
    <cellStyle name="_KPN-germany_CSC July 24_08 Valuation Model incl. new BP" xfId="2929"/>
    <cellStyle name="_KPN-germany_CSC July 24_09 Valuation Model incl. new BP" xfId="2930"/>
    <cellStyle name="_KPN-germany_CSC July 24_13 Valuation Model incl. new BP" xfId="2931"/>
    <cellStyle name="_KPN-germany_CSC July 24_14 Valuation Model incl. new BP" xfId="2932"/>
    <cellStyle name="_KPN-germany_CSC July 24_15_ Clean LBO Model" xfId="2933"/>
    <cellStyle name="_KPN-germany_CSC July 24_20 Valuation Model incl. new BP" xfId="2934"/>
    <cellStyle name="_KPN-germany_CSC July 24_25 Valuation Model incl. new BP" xfId="2935"/>
    <cellStyle name="_KPN-germany_CSC July 24_33 Valuation Model incl. new BP" xfId="2936"/>
    <cellStyle name="_KPN-germany_CSC July 24_34 Valuation Model incl. new BP" xfId="2937"/>
    <cellStyle name="_KPN-germany_CSC July 24_37 Valuation Model incl. new BP" xfId="2938"/>
    <cellStyle name="_KPN-germany_CSC July 24_38 Valuation Model incl. new BP" xfId="2939"/>
    <cellStyle name="_KPN-germany_CSC July 24_39 Valuation Model incl. new BP" xfId="2940"/>
    <cellStyle name="_KPN-germany_CSC July 24_40 Valuation Model incl. new BP" xfId="2941"/>
    <cellStyle name="_KPN-germany_CSC July 24_44 Valuation Model incl. new BP" xfId="2942"/>
    <cellStyle name="_Multiple_Draft funds flow - 7 June 2005" xfId="2943"/>
    <cellStyle name="_Multiple_Offering Breakdown - 09-Jun -2005" xfId="2944"/>
    <cellStyle name="_Multiple_Offering Breakdown - 09-Jun -2005 updated" xfId="2945"/>
    <cellStyle name="_Multiple_Offering Breakdown - 19-Jun -2005 updated" xfId="2946"/>
    <cellStyle name="_Multiple_pi5" xfId="2947"/>
    <cellStyle name="_Multiple_surbid4 cloture" xfId="2948"/>
    <cellStyle name="_Multiple_surbid4 cloture_1" xfId="2949"/>
    <cellStyle name="_Multiple_surbid4 cloture_1_noos 2001 results 11jul01" xfId="2950"/>
    <cellStyle name="_Multiple_tropicos5" xfId="2951"/>
    <cellStyle name="_Multiple_voice1.xls Chart 1" xfId="2952"/>
    <cellStyle name="_Multiple_wacc" xfId="2953"/>
    <cellStyle name="_MultipleSpace_Draft funds flow - 7 June 2005" xfId="2954"/>
    <cellStyle name="_MultipleSpace_noos 2001 results 11jul01" xfId="2955"/>
    <cellStyle name="_MultipleSpace_Offering Breakdown - 09-Jun -2005" xfId="2956"/>
    <cellStyle name="_MultipleSpace_Offering Breakdown - 09-Jun -2005 updated" xfId="2957"/>
    <cellStyle name="_MultipleSpace_Offering Breakdown - 19-Jun -2005 updated" xfId="2958"/>
    <cellStyle name="_MultipleSpace_pi5" xfId="2959"/>
    <cellStyle name="_MultipleSpace_surbid4 cloture" xfId="2960"/>
    <cellStyle name="_MultipleSpace_surbid4 cloture_1" xfId="2961"/>
    <cellStyle name="_MultipleSpace_surbid4 cloture_1_noos 2001 results 11jul01" xfId="2962"/>
    <cellStyle name="_MultipleSpace_tropicos5" xfId="2963"/>
    <cellStyle name="_MultipleSpace_voice1.xls Chart 1" xfId="2964"/>
    <cellStyle name="_MultipleSpace_wacc" xfId="2965"/>
    <cellStyle name="_Percent_pi5" xfId="2966"/>
    <cellStyle name="_Percent_surbid4 cloture" xfId="2967"/>
    <cellStyle name="_Percent_surbid4 cloture_noos 2001 results 11jul01" xfId="2968"/>
    <cellStyle name="_Percent_tropicos5" xfId="2969"/>
    <cellStyle name="_Percent_voice1.xls Chart 1" xfId="2970"/>
    <cellStyle name="_Percent_wacc" xfId="2971"/>
    <cellStyle name="_PercentSpace_pi5" xfId="2972"/>
    <cellStyle name="_PercentSpace_surbid4 cloture" xfId="2973"/>
    <cellStyle name="_PercentSpace_surbid4 cloture_1" xfId="2974"/>
    <cellStyle name="_PercentSpace_surbid4 cloture_1_noos 2001 results 11jul01" xfId="2975"/>
    <cellStyle name="_PercentSpace_surbid4 cloture_noos 2001 results 11jul01" xfId="2976"/>
    <cellStyle name="_PercentSpace_tropicos5" xfId="2977"/>
    <cellStyle name="_PercentSpace_voice1.xls Chart 1" xfId="2978"/>
    <cellStyle name="_PercentSpace_wacc" xfId="2979"/>
    <cellStyle name="_source" xfId="2980"/>
    <cellStyle name="_source_03_ Clean LBO Model" xfId="2981"/>
    <cellStyle name="_source_05_ Clean LBO Model" xfId="2982"/>
    <cellStyle name="_source_08 Valuation Model incl. new BP" xfId="2983"/>
    <cellStyle name="_source_09 Valuation Model incl. new BP" xfId="2984"/>
    <cellStyle name="_source_13 Valuation Model incl. new BP" xfId="2985"/>
    <cellStyle name="_source_14 Valuation Model incl. new BP" xfId="2986"/>
    <cellStyle name="_source_15_ Clean LBO Model" xfId="2987"/>
    <cellStyle name="_source_20 Valuation Model incl. new BP" xfId="2988"/>
    <cellStyle name="_source_25 Valuation Model incl. new BP" xfId="2989"/>
    <cellStyle name="_source_33 Valuation Model incl. new BP" xfId="2990"/>
    <cellStyle name="_source_34 Valuation Model incl. new BP" xfId="2991"/>
    <cellStyle name="_source_37 Valuation Model incl. new BP" xfId="2992"/>
    <cellStyle name="_source_38 Valuation Model incl. new BP" xfId="2993"/>
    <cellStyle name="_source_39 Valuation Model incl. new BP" xfId="2994"/>
    <cellStyle name="_source_40 Valuation Model incl. new BP" xfId="2995"/>
    <cellStyle name="_source_44 Valuation Model incl. new BP" xfId="2996"/>
    <cellStyle name="_SubHeading_01 Capital Structure" xfId="2997"/>
    <cellStyle name="_SubHeading_01 Capital Structure_03_ Clean LBO Model" xfId="2998"/>
    <cellStyle name="_SubHeading_01 Capital Structure_05_ Clean LBO Model" xfId="2999"/>
    <cellStyle name="_SubHeading_01 Capital Structure_08 Valuation Model incl. new BP" xfId="3000"/>
    <cellStyle name="_SubHeading_01 Capital Structure_09 Valuation Model incl. new BP" xfId="3001"/>
    <cellStyle name="_SubHeading_01 Capital Structure_13 Valuation Model incl. new BP" xfId="3002"/>
    <cellStyle name="_SubHeading_01 Capital Structure_14 Valuation Model incl. new BP" xfId="3003"/>
    <cellStyle name="_SubHeading_01 Capital Structure_15_ Clean LBO Model" xfId="3004"/>
    <cellStyle name="_SubHeading_01 Capital Structure_20 Valuation Model incl. new BP" xfId="3005"/>
    <cellStyle name="_SubHeading_01 Capital Structure_25 Valuation Model incl. new BP" xfId="3006"/>
    <cellStyle name="_SubHeading_01 Capital Structure_33 Valuation Model incl. new BP" xfId="3007"/>
    <cellStyle name="_SubHeading_01 Capital Structure_34 Valuation Model incl. new BP" xfId="3008"/>
    <cellStyle name="_SubHeading_01 Capital Structure_37 Valuation Model incl. new BP" xfId="3009"/>
    <cellStyle name="_SubHeading_01 Capital Structure_38 Valuation Model incl. new BP" xfId="3010"/>
    <cellStyle name="_SubHeading_01 Capital Structure_39 Valuation Model incl. new BP" xfId="3011"/>
    <cellStyle name="_SubHeading_01 Capital Structure_40 Valuation Model incl. new BP" xfId="3012"/>
    <cellStyle name="_SubHeading_01 Capital Structure_44 Valuation Model incl. new BP" xfId="3013"/>
    <cellStyle name="_SubHeading_01 Offering Breakdown" xfId="3014"/>
    <cellStyle name="_SubHeading_02 DCF" xfId="3015"/>
    <cellStyle name="_SubHeading_02 Enersys Merger Plan" xfId="3016"/>
    <cellStyle name="_SubHeading_02 Enersys Merger Plan_03_ Clean LBO Model" xfId="3017"/>
    <cellStyle name="_SubHeading_02 Enersys Merger Plan_05_ Clean LBO Model" xfId="3018"/>
    <cellStyle name="_SubHeading_02 Enersys Merger Plan_08 Valuation Model incl. new BP" xfId="3019"/>
    <cellStyle name="_SubHeading_02 Enersys Merger Plan_09 Valuation Model incl. new BP" xfId="3020"/>
    <cellStyle name="_SubHeading_02 Enersys Merger Plan_13 Valuation Model incl. new BP" xfId="3021"/>
    <cellStyle name="_SubHeading_02 Enersys Merger Plan_14 Valuation Model incl. new BP" xfId="3022"/>
    <cellStyle name="_SubHeading_02 Enersys Merger Plan_15_ Clean LBO Model" xfId="3023"/>
    <cellStyle name="_SubHeading_02 Enersys Merger Plan_20 Valuation Model incl. new BP" xfId="3024"/>
    <cellStyle name="_SubHeading_02 Enersys Merger Plan_25 Valuation Model incl. new BP" xfId="3025"/>
    <cellStyle name="_SubHeading_02 Enersys Merger Plan_33 Valuation Model incl. new BP" xfId="3026"/>
    <cellStyle name="_SubHeading_02 Enersys Merger Plan_34 Valuation Model incl. new BP" xfId="3027"/>
    <cellStyle name="_SubHeading_02 Enersys Merger Plan_37 Valuation Model incl. new BP" xfId="3028"/>
    <cellStyle name="_SubHeading_02 Enersys Merger Plan_38 Valuation Model incl. new BP" xfId="3029"/>
    <cellStyle name="_SubHeading_02 Enersys Merger Plan_39 Valuation Model incl. new BP" xfId="3030"/>
    <cellStyle name="_SubHeading_02 Enersys Merger Plan_40 Valuation Model incl. new BP" xfId="3031"/>
    <cellStyle name="_SubHeading_02 Enersys Merger Plan_44 Valuation Model incl. new BP" xfId="3032"/>
    <cellStyle name="_SubHeading_02 Mobile CSC" xfId="3033"/>
    <cellStyle name="_SubHeading_02 TDC Merger Plan" xfId="3034"/>
    <cellStyle name="_SubHeading_02 TDC Merger Plan_03_ Clean LBO Model" xfId="3035"/>
    <cellStyle name="_SubHeading_02 TDC Merger Plan_05_ Clean LBO Model" xfId="3036"/>
    <cellStyle name="_SubHeading_02 TDC Merger Plan_08 Valuation Model incl. new BP" xfId="3037"/>
    <cellStyle name="_SubHeading_02 TDC Merger Plan_09 Valuation Model incl. new BP" xfId="3038"/>
    <cellStyle name="_SubHeading_02 TDC Merger Plan_13 Valuation Model incl. new BP" xfId="3039"/>
    <cellStyle name="_SubHeading_02 TDC Merger Plan_14 Valuation Model incl. new BP" xfId="3040"/>
    <cellStyle name="_SubHeading_02 TDC Merger Plan_15_ Clean LBO Model" xfId="3041"/>
    <cellStyle name="_SubHeading_02 TDC Merger Plan_20 Valuation Model incl. new BP" xfId="3042"/>
    <cellStyle name="_SubHeading_02 TDC Merger Plan_25 Valuation Model incl. new BP" xfId="3043"/>
    <cellStyle name="_SubHeading_02 TDC Merger Plan_33 Valuation Model incl. new BP" xfId="3044"/>
    <cellStyle name="_SubHeading_02 TDC Merger Plan_34 Valuation Model incl. new BP" xfId="3045"/>
    <cellStyle name="_SubHeading_02 TDC Merger Plan_37 Valuation Model incl. new BP" xfId="3046"/>
    <cellStyle name="_SubHeading_02 TDC Merger Plan_38 Valuation Model incl. new BP" xfId="3047"/>
    <cellStyle name="_SubHeading_02 TDC Merger Plan_39 Valuation Model incl. new BP" xfId="3048"/>
    <cellStyle name="_SubHeading_02 TDC Merger Plan_40 Valuation Model incl. new BP" xfId="3049"/>
    <cellStyle name="_SubHeading_02 TDC Merger Plan_44 Valuation Model incl. new BP" xfId="3050"/>
    <cellStyle name="_SubHeading_03 Total Expenses" xfId="3051"/>
    <cellStyle name="_SubHeading_04 Volatility" xfId="3052"/>
    <cellStyle name="_SubHeading_07 Model Alcatel OFD Sept-03" xfId="3053"/>
    <cellStyle name="_SubHeading_10 LBO Model Packoma oct 2003" xfId="3054"/>
    <cellStyle name="_SubHeading_19 Valuation of Cegetel" xfId="3055"/>
    <cellStyle name="_SubHeading_19 Valuation of Cegetel_03_ Clean LBO Model" xfId="3056"/>
    <cellStyle name="_SubHeading_19 Valuation of Cegetel_05_ Clean LBO Model" xfId="3057"/>
    <cellStyle name="_SubHeading_19 Valuation of Cegetel_08 Valuation Model incl. new BP" xfId="3058"/>
    <cellStyle name="_SubHeading_19 Valuation of Cegetel_09 Valuation Model incl. new BP" xfId="3059"/>
    <cellStyle name="_SubHeading_19 Valuation of Cegetel_13 Valuation Model incl. new BP" xfId="3060"/>
    <cellStyle name="_SubHeading_19 Valuation of Cegetel_14 Valuation Model incl. new BP" xfId="3061"/>
    <cellStyle name="_SubHeading_19 Valuation of Cegetel_15_ Clean LBO Model" xfId="3062"/>
    <cellStyle name="_SubHeading_19 Valuation of Cegetel_20 Valuation Model incl. new BP" xfId="3063"/>
    <cellStyle name="_SubHeading_19 Valuation of Cegetel_25 Valuation Model incl. new BP" xfId="3064"/>
    <cellStyle name="_SubHeading_19 Valuation of Cegetel_33 Valuation Model incl. new BP" xfId="3065"/>
    <cellStyle name="_SubHeading_19 Valuation of Cegetel_34 Valuation Model incl. new BP" xfId="3066"/>
    <cellStyle name="_SubHeading_19 Valuation of Cegetel_37 Valuation Model incl. new BP" xfId="3067"/>
    <cellStyle name="_SubHeading_19 Valuation of Cegetel_38 Valuation Model incl. new BP" xfId="3068"/>
    <cellStyle name="_SubHeading_19 Valuation of Cegetel_39 Valuation Model incl. new BP" xfId="3069"/>
    <cellStyle name="_SubHeading_19 Valuation of Cegetel_40 Valuation Model incl. new BP" xfId="3070"/>
    <cellStyle name="_SubHeading_19 Valuation of Cegetel_44 Valuation Model incl. new BP" xfId="3071"/>
    <cellStyle name="_SubHeading_190503 Model2" xfId="3072"/>
    <cellStyle name="_SubHeading_20 Operational Model" xfId="3073"/>
    <cellStyle name="_SubHeading_44 Valuation Model incl. new BP" xfId="3074"/>
    <cellStyle name="_SubHeading_58_Model Rexel_Scenarios" xfId="3075"/>
    <cellStyle name="_SubHeading_beta rider" xfId="3076"/>
    <cellStyle name="_SubHeading_carrefour sa carsons ownership" xfId="3077"/>
    <cellStyle name="_SubHeading_EBITDA to Growth" xfId="3078"/>
    <cellStyle name="_SubHeading_Financials &amp; Valuation v16 Indigo" xfId="3079"/>
    <cellStyle name="_SubHeading_Marionnaud DCF S))_x0008__x0008_03" xfId="3080"/>
    <cellStyle name="_SubHeading_Marionnaud Model_15April" xfId="3081"/>
    <cellStyle name="_SubHeading_Numico GS Research Model 23-Aug-2002" xfId="3082"/>
    <cellStyle name="_SubHeading_Numico GS Research Model 23-Aug-2002_03_ Clean LBO Model" xfId="3083"/>
    <cellStyle name="_SubHeading_Numico GS Research Model 23-Aug-2002_05_ Clean LBO Model" xfId="3084"/>
    <cellStyle name="_SubHeading_Numico GS Research Model 23-Aug-2002_08 Valuation Model incl. new BP" xfId="3085"/>
    <cellStyle name="_SubHeading_Numico GS Research Model 23-Aug-2002_09 Valuation Model incl. new BP" xfId="3086"/>
    <cellStyle name="_SubHeading_Numico GS Research Model 23-Aug-2002_13 Valuation Model incl. new BP" xfId="3087"/>
    <cellStyle name="_SubHeading_Numico GS Research Model 23-Aug-2002_14 Valuation Model incl. new BP" xfId="3088"/>
    <cellStyle name="_SubHeading_Numico GS Research Model 23-Aug-2002_15_ Clean LBO Model" xfId="3089"/>
    <cellStyle name="_SubHeading_Numico GS Research Model 23-Aug-2002_20 Valuation Model incl. new BP" xfId="3090"/>
    <cellStyle name="_SubHeading_Numico GS Research Model 23-Aug-2002_25 Valuation Model incl. new BP" xfId="3091"/>
    <cellStyle name="_SubHeading_Numico GS Research Model 23-Aug-2002_33 Valuation Model incl. new BP" xfId="3092"/>
    <cellStyle name="_SubHeading_Numico GS Research Model 23-Aug-2002_34 Valuation Model incl. new BP" xfId="3093"/>
    <cellStyle name="_SubHeading_Numico GS Research Model 23-Aug-2002_37 Valuation Model incl. new BP" xfId="3094"/>
    <cellStyle name="_SubHeading_Numico GS Research Model 23-Aug-2002_38 Valuation Model incl. new BP" xfId="3095"/>
    <cellStyle name="_SubHeading_Numico GS Research Model 23-Aug-2002_39 Valuation Model incl. new BP" xfId="3096"/>
    <cellStyle name="_SubHeading_Numico GS Research Model 23-Aug-2002_40 Valuation Model incl. new BP" xfId="3097"/>
    <cellStyle name="_SubHeading_Numico GS Research Model 23-Aug-2002_44 Valuation Model incl. new BP" xfId="3098"/>
    <cellStyle name="_SubHeading_Numico GS Research Model 23-Aug-2002_CSC July 24" xfId="3099"/>
    <cellStyle name="_SubHeading_Offering Breakdown - 09-Jun -2005" xfId="3100"/>
    <cellStyle name="_SubHeading_SantaLucia Debt Coverage analysis - 12 June 2001" xfId="3101"/>
    <cellStyle name="_SubHeading_Sensitivity analysis on synergies (amended)" xfId="3102"/>
    <cellStyle name="_SubHeading_Volatility" xfId="3103"/>
    <cellStyle name="_Table_01 Capital Structure" xfId="3104"/>
    <cellStyle name="_Table_01 Capital Structure_03_ Clean LBO Model" xfId="3105"/>
    <cellStyle name="_Table_01 Capital Structure_05_ Clean LBO Model" xfId="3106"/>
    <cellStyle name="_Table_01 Capital Structure_08 Valuation Model incl. new BP" xfId="3107"/>
    <cellStyle name="_Table_01 Capital Structure_09 Valuation Model incl. new BP" xfId="3108"/>
    <cellStyle name="_Table_01 Capital Structure_13 Valuation Model incl. new BP" xfId="3109"/>
    <cellStyle name="_Table_01 Capital Structure_14 Valuation Model incl. new BP" xfId="3110"/>
    <cellStyle name="_Table_01 Capital Structure_15_ Clean LBO Model" xfId="3111"/>
    <cellStyle name="_Table_01 Capital Structure_20 Valuation Model incl. new BP" xfId="3112"/>
    <cellStyle name="_Table_01 Capital Structure_25 Valuation Model incl. new BP" xfId="3113"/>
    <cellStyle name="_Table_01 Capital Structure_33 Valuation Model incl. new BP" xfId="3114"/>
    <cellStyle name="_Table_01 Capital Structure_34 Valuation Model incl. new BP" xfId="3115"/>
    <cellStyle name="_Table_01 Capital Structure_37 Valuation Model incl. new BP" xfId="3116"/>
    <cellStyle name="_Table_01 Capital Structure_38 Valuation Model incl. new BP" xfId="3117"/>
    <cellStyle name="_Table_01 Capital Structure_39 Valuation Model incl. new BP" xfId="3118"/>
    <cellStyle name="_Table_01 Capital Structure_40 Valuation Model incl. new BP" xfId="3119"/>
    <cellStyle name="_Table_01 Capital Structure_44 Valuation Model incl. new BP" xfId="3120"/>
    <cellStyle name="_Table_01 Offering Breakdown" xfId="3121"/>
    <cellStyle name="_Table_02 DCF" xfId="3122"/>
    <cellStyle name="_Table_02 Enersys Merger Plan" xfId="3123"/>
    <cellStyle name="_Table_02 Enersys Merger Plan_03_ Clean LBO Model" xfId="3124"/>
    <cellStyle name="_Table_02 Enersys Merger Plan_05_ Clean LBO Model" xfId="3125"/>
    <cellStyle name="_Table_02 Enersys Merger Plan_08 Valuation Model incl. new BP" xfId="3126"/>
    <cellStyle name="_Table_02 Enersys Merger Plan_09 Valuation Model incl. new BP" xfId="3127"/>
    <cellStyle name="_Table_02 Enersys Merger Plan_13 Valuation Model incl. new BP" xfId="3128"/>
    <cellStyle name="_Table_02 Enersys Merger Plan_14 Valuation Model incl. new BP" xfId="3129"/>
    <cellStyle name="_Table_02 Enersys Merger Plan_15_ Clean LBO Model" xfId="3130"/>
    <cellStyle name="_Table_02 Enersys Merger Plan_20 Valuation Model incl. new BP" xfId="3131"/>
    <cellStyle name="_Table_02 Enersys Merger Plan_25 Valuation Model incl. new BP" xfId="3132"/>
    <cellStyle name="_Table_02 Enersys Merger Plan_33 Valuation Model incl. new BP" xfId="3133"/>
    <cellStyle name="_Table_02 Enersys Merger Plan_34 Valuation Model incl. new BP" xfId="3134"/>
    <cellStyle name="_Table_02 Enersys Merger Plan_37 Valuation Model incl. new BP" xfId="3135"/>
    <cellStyle name="_Table_02 Enersys Merger Plan_38 Valuation Model incl. new BP" xfId="3136"/>
    <cellStyle name="_Table_02 Enersys Merger Plan_39 Valuation Model incl. new BP" xfId="3137"/>
    <cellStyle name="_Table_02 Enersys Merger Plan_40 Valuation Model incl. new BP" xfId="3138"/>
    <cellStyle name="_Table_02 Enersys Merger Plan_44 Valuation Model incl. new BP" xfId="3139"/>
    <cellStyle name="_Table_02 Mobile CSC" xfId="3140"/>
    <cellStyle name="_Table_02 TDC Merger Plan" xfId="3141"/>
    <cellStyle name="_Table_02 TDC Merger Plan_03_ Clean LBO Model" xfId="3142"/>
    <cellStyle name="_Table_02 TDC Merger Plan_05_ Clean LBO Model" xfId="3143"/>
    <cellStyle name="_Table_02 TDC Merger Plan_08 Valuation Model incl. new BP" xfId="3144"/>
    <cellStyle name="_Table_02 TDC Merger Plan_09 Valuation Model incl. new BP" xfId="3145"/>
    <cellStyle name="_Table_02 TDC Merger Plan_13 Valuation Model incl. new BP" xfId="3146"/>
    <cellStyle name="_Table_02 TDC Merger Plan_14 Valuation Model incl. new BP" xfId="3147"/>
    <cellStyle name="_Table_02 TDC Merger Plan_15_ Clean LBO Model" xfId="3148"/>
    <cellStyle name="_Table_02 TDC Merger Plan_20 Valuation Model incl. new BP" xfId="3149"/>
    <cellStyle name="_Table_02 TDC Merger Plan_25 Valuation Model incl. new BP" xfId="3150"/>
    <cellStyle name="_Table_02 TDC Merger Plan_33 Valuation Model incl. new BP" xfId="3151"/>
    <cellStyle name="_Table_02 TDC Merger Plan_34 Valuation Model incl. new BP" xfId="3152"/>
    <cellStyle name="_Table_02 TDC Merger Plan_37 Valuation Model incl. new BP" xfId="3153"/>
    <cellStyle name="_Table_02 TDC Merger Plan_38 Valuation Model incl. new BP" xfId="3154"/>
    <cellStyle name="_Table_02 TDC Merger Plan_39 Valuation Model incl. new BP" xfId="3155"/>
    <cellStyle name="_Table_02 TDC Merger Plan_40 Valuation Model incl. new BP" xfId="3156"/>
    <cellStyle name="_Table_02 TDC Merger Plan_44 Valuation Model incl. new BP" xfId="3157"/>
    <cellStyle name="_Table_03 Total Expenses" xfId="3158"/>
    <cellStyle name="_Table_04 Volatility" xfId="3159"/>
    <cellStyle name="_Table_07 Model Alcatel OFD Sept-03" xfId="3160"/>
    <cellStyle name="_Table_10- C-lion Merger and Valuation Analysis" xfId="3161"/>
    <cellStyle name="_Table_10 LBO Model Packoma oct 2003" xfId="3162"/>
    <cellStyle name="_Table_19 Valuation of Cegetel" xfId="3163"/>
    <cellStyle name="_Table_19 Valuation of Cegetel_03_ Clean LBO Model" xfId="3164"/>
    <cellStyle name="_Table_19 Valuation of Cegetel_05_ Clean LBO Model" xfId="3165"/>
    <cellStyle name="_Table_19 Valuation of Cegetel_08 Valuation Model incl. new BP" xfId="3166"/>
    <cellStyle name="_Table_19 Valuation of Cegetel_09 Valuation Model incl. new BP" xfId="3167"/>
    <cellStyle name="_Table_19 Valuation of Cegetel_13 Valuation Model incl. new BP" xfId="3168"/>
    <cellStyle name="_Table_19 Valuation of Cegetel_14 Valuation Model incl. new BP" xfId="3169"/>
    <cellStyle name="_Table_19 Valuation of Cegetel_15_ Clean LBO Model" xfId="3170"/>
    <cellStyle name="_Table_19 Valuation of Cegetel_20 Valuation Model incl. new BP" xfId="3171"/>
    <cellStyle name="_Table_19 Valuation of Cegetel_25 Valuation Model incl. new BP" xfId="3172"/>
    <cellStyle name="_Table_19 Valuation of Cegetel_33 Valuation Model incl. new BP" xfId="3173"/>
    <cellStyle name="_Table_19 Valuation of Cegetel_34 Valuation Model incl. new BP" xfId="3174"/>
    <cellStyle name="_Table_19 Valuation of Cegetel_37 Valuation Model incl. new BP" xfId="3175"/>
    <cellStyle name="_Table_19 Valuation of Cegetel_38 Valuation Model incl. new BP" xfId="3176"/>
    <cellStyle name="_Table_19 Valuation of Cegetel_39 Valuation Model incl. new BP" xfId="3177"/>
    <cellStyle name="_Table_19 Valuation of Cegetel_40 Valuation Model incl. new BP" xfId="3178"/>
    <cellStyle name="_Table_19 Valuation of Cegetel_44 Valuation Model incl. new BP" xfId="3179"/>
    <cellStyle name="_Table_190503 Model2" xfId="3180"/>
    <cellStyle name="_Table_20 Operational Model" xfId="3181"/>
    <cellStyle name="_Table_2001 09 20" xfId="3182"/>
    <cellStyle name="_Table_44 Valuation Model incl. new BP" xfId="3183"/>
    <cellStyle name="_Table_58_Model Rexel_Scenarios" xfId="3184"/>
    <cellStyle name="_Table_Accretion_Management_19Sep" xfId="3185"/>
    <cellStyle name="_Table_Accretion_Management_21Aug.2" xfId="3186"/>
    <cellStyle name="_Table_Accretion_Management_Sep1" xfId="3187"/>
    <cellStyle name="_Table_Barra Betas1" xfId="3188"/>
    <cellStyle name="_Table_Bottom-Up Site Analysis (220801)" xfId="3189"/>
    <cellStyle name="_Table_Bottom-Up Site Analysis v2" xfId="3190"/>
    <cellStyle name="_Table_Casto DCF_June22" xfId="3191"/>
    <cellStyle name="_Table_Contribution analysis" xfId="3192"/>
    <cellStyle name="_Table_Contribution Analysis_Brokers_Sep2" xfId="3193"/>
    <cellStyle name="_Table_Contribution Analysis_Brokers_Sep6" xfId="3194"/>
    <cellStyle name="_Table_CSC - revised version 27 october" xfId="3195"/>
    <cellStyle name="_Table_DCF - July 2, 2001" xfId="3196"/>
    <cellStyle name="_Table_deal comp data 99 reduced" xfId="3197"/>
    <cellStyle name="_Table_Financial and Credit Impact" xfId="3198"/>
    <cellStyle name="_Table_Financial Model v75.0" xfId="3199"/>
    <cellStyle name="_Table_Financials &amp; Valuation v16 Indigo" xfId="3200"/>
    <cellStyle name="_Table_Financing alternatives key credit" xfId="3201"/>
    <cellStyle name="_Table_liberate fact sheet" xfId="3202"/>
    <cellStyle name="_Table_Marionnaud DCF Sept-03" xfId="3203"/>
    <cellStyle name="_Table_Marionnaud Model_15April" xfId="3204"/>
    <cellStyle name="_Table_Modele Sigma-Kalon - 7 dec 01" xfId="3205"/>
    <cellStyle name="_Table_NKF_HomeDepot_2Aug" xfId="3206"/>
    <cellStyle name="_Table_Offering Breakdown - 09-Jun -2005" xfId="3207"/>
    <cellStyle name="_Table_Options_Converts" xfId="3208"/>
    <cellStyle name="_Table_Project Wincor LBO Model 2a" xfId="3209"/>
    <cellStyle name="_Table_Project Wincor LBO Model 2b" xfId="3210"/>
    <cellStyle name="_Table_Rollout of 26 - 36 Networks in Finland" xfId="3211"/>
    <cellStyle name="_Table_SantaLucia Debt Coverage analysis - 12 June 2001" xfId="3212"/>
    <cellStyle name="_Table_Unibase Preliminary Valuations" xfId="3213"/>
    <cellStyle name="_Table_Volatility" xfId="3214"/>
    <cellStyle name="_Table_Working Capital Swings" xfId="3215"/>
    <cellStyle name="_TableHead_01 Capital Structure" xfId="3216"/>
    <cellStyle name="_TableHead_01 Capital Structure_03_ Clean LBO Model" xfId="3217"/>
    <cellStyle name="_TableHead_01 Capital Structure_05_ Clean LBO Model" xfId="3218"/>
    <cellStyle name="_TableHead_01 Capital Structure_08 Valuation Model incl. new BP" xfId="3219"/>
    <cellStyle name="_TableHead_01 Capital Structure_09 Valuation Model incl. new BP" xfId="3220"/>
    <cellStyle name="_TableHead_01 Capital Structure_13 Valuation Model incl. new BP" xfId="3221"/>
    <cellStyle name="_TableHead_01 Capital Structure_14 Valuation Model incl. new BP" xfId="3222"/>
    <cellStyle name="_TableHead_01 Capital Structure_15_ Clean LBO Model" xfId="3223"/>
    <cellStyle name="_TableHead_01 Capital Structure_20 Valuation Model incl. new BP" xfId="3224"/>
    <cellStyle name="_TableHead_01 Capital Structure_25 Valuation Model incl. new BP" xfId="3225"/>
    <cellStyle name="_TableHead_01 Capital Structure_33 Valuation Model incl. new BP" xfId="3226"/>
    <cellStyle name="_TableHead_01 Capital Structure_34 Valuation Model incl. new BP" xfId="3227"/>
    <cellStyle name="_TableHead_01 Capital Structure_37 Valuation Model incl. new BP" xfId="3228"/>
    <cellStyle name="_TableHead_01 Capital Structure_38 Valuation Model incl. new BP" xfId="3229"/>
    <cellStyle name="_TableHead_01 Capital Structure_39 Valuation Model incl. new BP" xfId="3230"/>
    <cellStyle name="_TableHead_01 Capital Structure_40 Valuation Model incl. new BP" xfId="3231"/>
    <cellStyle name="_TableHead_01 Capital Structure_44 Valuation Model incl. new BP" xfId="3232"/>
    <cellStyle name="_TableHead_01 Offering Breakdown" xfId="3233"/>
    <cellStyle name="_TableHead_02 Enersys Merger Plan" xfId="3234"/>
    <cellStyle name="_TableHead_02 Enersys Merger Plan_03_ Clean LBO Model" xfId="3235"/>
    <cellStyle name="_TableHead_02 Enersys Merger Plan_05_ Clean LBO Model" xfId="3236"/>
    <cellStyle name="_TableHead_02 Enersys Merger Plan_08 Valuation Model incl. new BP" xfId="3237"/>
    <cellStyle name="_TableHead_02 Enersys Merger Plan_09 Valuation Model incl. new BP" xfId="3238"/>
    <cellStyle name="_TableHead_02 Enersys Merger Plan_13 Valuation Model incl. new BP" xfId="3239"/>
    <cellStyle name="_TableHead_02 Enersys Merger Plan_14 Valuation Model incl. new BP" xfId="3240"/>
    <cellStyle name="_TableHead_02 Enersys Merger Plan_15_ Clean LBO Model" xfId="3241"/>
    <cellStyle name="_TableHead_02 Enersys Merger Plan_20 Valuation Model incl. new BP" xfId="3242"/>
    <cellStyle name="_TableHead_02 Enersys Merger Plan_25 Valuation Model incl. new BP" xfId="3243"/>
    <cellStyle name="_TableHead_02 Enersys Merger Plan_33 Valuation Model incl. new BP" xfId="3244"/>
    <cellStyle name="_TableHead_02 Enersys Merger Plan_34 Valuation Model incl. new BP" xfId="3245"/>
    <cellStyle name="_TableHead_02 Enersys Merger Plan_37 Valuation Model incl. new BP" xfId="3246"/>
    <cellStyle name="_TableHead_02 Enersys Merger Plan_38 Valuation Model incl. new BP" xfId="3247"/>
    <cellStyle name="_TableHead_02 Enersys Merger Plan_39 Valuation Model incl. new BP" xfId="3248"/>
    <cellStyle name="_TableHead_02 Enersys Merger Plan_40 Valuation Model incl. new BP" xfId="3249"/>
    <cellStyle name="_TableHead_02 Enersys Merger Plan_44 Valuation Model incl. new BP" xfId="3250"/>
    <cellStyle name="_TableHead_02 TDC Merger Plan" xfId="3251"/>
    <cellStyle name="_TableHead_02 TDC Merger Plan_03_ Clean LBO Model" xfId="3252"/>
    <cellStyle name="_TableHead_02 TDC Merger Plan_05_ Clean LBO Model" xfId="3253"/>
    <cellStyle name="_TableHead_02 TDC Merger Plan_08 Valuation Model incl. new BP" xfId="3254"/>
    <cellStyle name="_TableHead_02 TDC Merger Plan_09 Valuation Model incl. new BP" xfId="3255"/>
    <cellStyle name="_TableHead_02 TDC Merger Plan_13 Valuation Model incl. new BP" xfId="3256"/>
    <cellStyle name="_TableHead_02 TDC Merger Plan_14 Valuation Model incl. new BP" xfId="3257"/>
    <cellStyle name="_TableHead_02 TDC Merger Plan_15_ Clean LBO Model" xfId="3258"/>
    <cellStyle name="_TableHead_02 TDC Merger Plan_20 Valuation Model incl. new BP" xfId="3259"/>
    <cellStyle name="_TableHead_02 TDC Merger Plan_25 Valuation Model incl. new BP" xfId="3260"/>
    <cellStyle name="_TableHead_02 TDC Merger Plan_33 Valuation Model incl. new BP" xfId="3261"/>
    <cellStyle name="_TableHead_02 TDC Merger Plan_34 Valuation Model incl. new BP" xfId="3262"/>
    <cellStyle name="_TableHead_02 TDC Merger Plan_37 Valuation Model incl. new BP" xfId="3263"/>
    <cellStyle name="_TableHead_02 TDC Merger Plan_38 Valuation Model incl. new BP" xfId="3264"/>
    <cellStyle name="_TableHead_02 TDC Merger Plan_39 Valuation Model incl. new BP" xfId="3265"/>
    <cellStyle name="_TableHead_02 TDC Merger Plan_40 Valuation Model incl. new BP" xfId="3266"/>
    <cellStyle name="_TableHead_02 TDC Merger Plan_44 Valuation Model incl. new BP" xfId="3267"/>
    <cellStyle name="_TableHead_03 Total Expenses" xfId="3268"/>
    <cellStyle name="_TableHead_04 Volatility" xfId="3269"/>
    <cellStyle name="_TableHead_08 model" xfId="3270"/>
    <cellStyle name="_TableHead_19 Valuation of Cegetel" xfId="3271"/>
    <cellStyle name="_TableHead_19 Valuation of Cegetel_03_ Clean LBO Model" xfId="3272"/>
    <cellStyle name="_TableHead_19 Valuation of Cegetel_05_ Clean LBO Model" xfId="3273"/>
    <cellStyle name="_TableHead_19 Valuation of Cegetel_08 Valuation Model incl. new BP" xfId="3274"/>
    <cellStyle name="_TableHead_19 Valuation of Cegetel_09 Valuation Model incl. new BP" xfId="3275"/>
    <cellStyle name="_TableHead_19 Valuation of Cegetel_13 Valuation Model incl. new BP" xfId="3276"/>
    <cellStyle name="_TableHead_19 Valuation of Cegetel_14 Valuation Model incl. new BP" xfId="3277"/>
    <cellStyle name="_TableHead_19 Valuation of Cegetel_15_ Clean LBO Model" xfId="3278"/>
    <cellStyle name="_TableHead_19 Valuation of Cegetel_20 Valuation Model incl. new BP" xfId="3279"/>
    <cellStyle name="_TableHead_19 Valuation of Cegetel_25 Valuation Model incl. new BP" xfId="3280"/>
    <cellStyle name="_TableHead_19 Valuation of Cegetel_33 Valuation Model incl. new BP" xfId="3281"/>
    <cellStyle name="_TableHead_19 Valuation of Cegetel_34 Valuation Model incl. new BP" xfId="3282"/>
    <cellStyle name="_TableHead_19 Valuation of Cegetel_37 Valuation Model incl. new BP" xfId="3283"/>
    <cellStyle name="_TableHead_19 Valuation of Cegetel_38 Valuation Model incl. new BP" xfId="3284"/>
    <cellStyle name="_TableHead_19 Valuation of Cegetel_39 Valuation Model incl. new BP" xfId="3285"/>
    <cellStyle name="_TableHead_19 Valuation of Cegetel_40 Valuation Model incl. new BP" xfId="3286"/>
    <cellStyle name="_TableHead_19 Valuation of Cegetel_44 Valuation Model incl. new BP" xfId="3287"/>
    <cellStyle name="_TableHead_20 Operational Model" xfId="3288"/>
    <cellStyle name="_TableHead_44 Valuation Model incl. new BP" xfId="3289"/>
    <cellStyle name="_TableHead_Offering Breakdown - 09-Jun -2005" xfId="3290"/>
    <cellStyle name="_TableHead_Volatility" xfId="3291"/>
    <cellStyle name="_TableHeading" xfId="3292"/>
    <cellStyle name="_TableRowBorder" xfId="3293"/>
    <cellStyle name="_TableRowHead_01 Capital Structure" xfId="3294"/>
    <cellStyle name="_TableRowHead_01 Capital Structure_03_ Clean LBO Model" xfId="3295"/>
    <cellStyle name="_TableRowHead_01 Capital Structure_05_ Clean LBO Model" xfId="3296"/>
    <cellStyle name="_TableRowHead_01 Capital Structure_08 Valuation Model incl. new BP" xfId="3297"/>
    <cellStyle name="_TableRowHead_01 Capital Structure_09 Valuation Model incl. new BP" xfId="3298"/>
    <cellStyle name="_TableRowHead_01 Capital Structure_13 Valuation Model incl. new BP" xfId="3299"/>
    <cellStyle name="_TableRowHead_01 Capital Structure_14 Valuation Model incl. new BP" xfId="3300"/>
    <cellStyle name="_TableRowHead_01 Capital Structure_15_ Clean LBO Model" xfId="3301"/>
    <cellStyle name="_TableRowHead_01 Capital Structure_20 Valuation Model incl. new BP" xfId="3302"/>
    <cellStyle name="_TableRowHead_01 Capital Structure_25 Valuation Model incl. new BP" xfId="3303"/>
    <cellStyle name="_TableRowHead_01 Capital Structure_33 Valuation Model incl. new BP" xfId="3304"/>
    <cellStyle name="_TableRowHead_01 Capital Structure_34 Valuation Model incl. new BP" xfId="3305"/>
    <cellStyle name="_TableRowHead_01 Capital Structure_37 Valuation Model incl. new BP" xfId="3306"/>
    <cellStyle name="_TableRowHead_01 Capital Structure_38 Valuation Model incl. new BP" xfId="3307"/>
    <cellStyle name="_TableRowHead_01 Capital Structure_39 Valuation Model incl. new BP" xfId="3308"/>
    <cellStyle name="_TableRowHead_01 Capital Structure_40 Valuation Model incl. new BP" xfId="3309"/>
    <cellStyle name="_TableRowHead_01 Capital Structure_44 Valuation Model incl. new BP" xfId="3310"/>
    <cellStyle name="_TableRowHead_01 Offering Breakdown" xfId="3311"/>
    <cellStyle name="_TableRowHead_02 Enersys Merger Plan" xfId="3312"/>
    <cellStyle name="_TableRowHead_02 Enersys Merger Plan_03_ Clean LBO Model" xfId="3313"/>
    <cellStyle name="_TableRowHead_02 Enersys Merger Plan_05_ Clean LBO Model" xfId="3314"/>
    <cellStyle name="_TableRowHead_02 Enersys Merger Plan_08 Valuation Model incl. new BP" xfId="3315"/>
    <cellStyle name="_TableRowHead_02 Enersys Merger Plan_09 Valuation Model incl. new BP" xfId="3316"/>
    <cellStyle name="_TableRowHead_02 Enersys Merger Plan_13 Valuation Model incl. new BP" xfId="3317"/>
    <cellStyle name="_TableRowHead_02 Enersys Merger Plan_14 Valuation Model incl. new BP" xfId="3318"/>
    <cellStyle name="_TableRowHead_02 Enersys Merger Plan_15_ Clean LBO Model" xfId="3319"/>
    <cellStyle name="_TableRowHead_02 Enersys Merger Plan_20 Valuation Model incl. new BP" xfId="3320"/>
    <cellStyle name="_TableRowHead_02 Enersys Merger Plan_25 Valuation Model incl. new BP" xfId="3321"/>
    <cellStyle name="_TableRowHead_02 Enersys Merger Plan_33 Valuation Model incl. new BP" xfId="3322"/>
    <cellStyle name="_TableRowHead_02 Enersys Merger Plan_34 Valuation Model incl. new BP" xfId="3323"/>
    <cellStyle name="_TableRowHead_02 Enersys Merger Plan_37 Valuation Model incl. new BP" xfId="3324"/>
    <cellStyle name="_TableRowHead_02 Enersys Merger Plan_38 Valuation Model incl. new BP" xfId="3325"/>
    <cellStyle name="_TableRowHead_02 Enersys Merger Plan_39 Valuation Model incl. new BP" xfId="3326"/>
    <cellStyle name="_TableRowHead_02 Enersys Merger Plan_40 Valuation Model incl. new BP" xfId="3327"/>
    <cellStyle name="_TableRowHead_02 Enersys Merger Plan_44 Valuation Model incl. new BP" xfId="3328"/>
    <cellStyle name="_TableRowHead_02 TDC Merger Plan" xfId="3329"/>
    <cellStyle name="_TableRowHead_02 TDC Merger Plan_03_ Clean LBO Model" xfId="3330"/>
    <cellStyle name="_TableRowHead_02 TDC Merger Plan_05_ Clean LBO Model" xfId="3331"/>
    <cellStyle name="_TableRowHead_02 TDC Merger Plan_08 Valuation Model incl. new BP" xfId="3332"/>
    <cellStyle name="_TableRowHead_02 TDC Merger Plan_09 Valuation Model incl. new BP" xfId="3333"/>
    <cellStyle name="_TableRowHead_02 TDC Merger Plan_13 Valuation Model incl. new BP" xfId="3334"/>
    <cellStyle name="_TableRowHead_02 TDC Merger Plan_14 Valuation Model incl. new BP" xfId="3335"/>
    <cellStyle name="_TableRowHead_02 TDC Merger Plan_15_ Clean LBO Model" xfId="3336"/>
    <cellStyle name="_TableRowHead_02 TDC Merger Plan_20 Valuation Model incl. new BP" xfId="3337"/>
    <cellStyle name="_TableRowHead_02 TDC Merger Plan_25 Valuation Model incl. new BP" xfId="3338"/>
    <cellStyle name="_TableRowHead_02 TDC Merger Plan_33 Valuation Model incl. new BP" xfId="3339"/>
    <cellStyle name="_TableRowHead_02 TDC Merger Plan_34 Valuation Model incl. new BP" xfId="3340"/>
    <cellStyle name="_TableRowHead_02 TDC Merger Plan_37 Valuation Model incl. new BP" xfId="3341"/>
    <cellStyle name="_TableRowHead_02 TDC Merger Plan_38 Valuation Model incl. new BP" xfId="3342"/>
    <cellStyle name="_TableRowHead_02 TDC Merger Plan_39 Valuation Model incl. new BP" xfId="3343"/>
    <cellStyle name="_TableRowHead_02 TDC Merger Plan_40 Valuation Model incl. new BP" xfId="3344"/>
    <cellStyle name="_TableRowHead_02 TDC Merger Plan_44 Valuation Model incl. new BP" xfId="3345"/>
    <cellStyle name="_TableRowHead_03 Total Expenses" xfId="3346"/>
    <cellStyle name="_TableRowHead_04 Volatility" xfId="3347"/>
    <cellStyle name="_TableRowHead_08 model" xfId="3348"/>
    <cellStyle name="_TableRowHead_19 Valuation of Cegetel" xfId="3349"/>
    <cellStyle name="_TableRowHead_19 Valuation of Cegetel_03_ Clean LBO Model" xfId="3350"/>
    <cellStyle name="_TableRowHead_19 Valuation of Cegetel_05_ Clean LBO Model" xfId="3351"/>
    <cellStyle name="_TableRowHead_19 Valuation of Cegetel_08 Valuation Model incl. new BP" xfId="3352"/>
    <cellStyle name="_TableRowHead_19 Valuation of Cegetel_09 Valuation Model incl. new BP" xfId="3353"/>
    <cellStyle name="_TableRowHead_19 Valuation of Cegetel_13 Valuation Model incl. new BP" xfId="3354"/>
    <cellStyle name="_TableRowHead_19 Valuation of Cegetel_14 Valuation Model incl. new BP" xfId="3355"/>
    <cellStyle name="_TableRowHead_19 Valuation of Cegetel_15_ Clean LBO Model" xfId="3356"/>
    <cellStyle name="_TableRowHead_19 Valuation of Cegetel_20 Valuation Model incl. new BP" xfId="3357"/>
    <cellStyle name="_TableRowHead_19 Valuation of Cegetel_25 Valuation Model incl. new BP" xfId="3358"/>
    <cellStyle name="_TableRowHead_19 Valuation of Cegetel_33 Valuation Model incl. new BP" xfId="3359"/>
    <cellStyle name="_TableRowHead_19 Valuation of Cegetel_34 Valuation Model incl. new BP" xfId="3360"/>
    <cellStyle name="_TableRowHead_19 Valuation of Cegetel_37 Valuation Model incl. new BP" xfId="3361"/>
    <cellStyle name="_TableRowHead_19 Valuation of Cegetel_38 Valuation Model incl. new BP" xfId="3362"/>
    <cellStyle name="_TableRowHead_19 Valuation of Cegetel_39 Valuation Model incl. new BP" xfId="3363"/>
    <cellStyle name="_TableRowHead_19 Valuation of Cegetel_40 Valuation Model incl. new BP" xfId="3364"/>
    <cellStyle name="_TableRowHead_19 Valuation of Cegetel_44 Valuation Model incl. new BP" xfId="3365"/>
    <cellStyle name="_TableRowHead_20 Operational Model" xfId="3366"/>
    <cellStyle name="_TableRowHead_44 Valuation Model incl. new BP" xfId="3367"/>
    <cellStyle name="_TableRowHead_Offering Breakdown - 09-Jun -2005" xfId="3368"/>
    <cellStyle name="_TableRowHead_Telenet Client Financing Model 20030924" xfId="3369"/>
    <cellStyle name="_TableRowHead_Volatility" xfId="3370"/>
    <cellStyle name="_TableRowHeading" xfId="3371"/>
    <cellStyle name="_TableSuperHead_03 Total Expenses" xfId="3372"/>
    <cellStyle name="_TableSuperHead_04 Volatility" xfId="3373"/>
    <cellStyle name="_TableSuperHead_44 Valuation Model incl. new BP" xfId="3374"/>
    <cellStyle name="_TableSuperHead_Offering Breakdown - 09-Jun -2005" xfId="3375"/>
    <cellStyle name="_TableSuperHead_Volatility" xfId="3376"/>
    <cellStyle name="_TableText" xfId="3377"/>
    <cellStyle name="0_BP2" xfId="3378"/>
    <cellStyle name="1 decimal" xfId="3379"/>
    <cellStyle name="1,000" xfId="3380"/>
    <cellStyle name="1,000x" xfId="3381"/>
    <cellStyle name="2 decimal" xfId="3382"/>
    <cellStyle name="2 Decimals" xfId="3383"/>
    <cellStyle name="20% - Accent1 2" xfId="3384"/>
    <cellStyle name="20% - Accent1 2 2" xfId="3385"/>
    <cellStyle name="20% - Accent1 3" xfId="3386"/>
    <cellStyle name="20% - Accent1 4" xfId="3387"/>
    <cellStyle name="20% - Accent1 5" xfId="3388"/>
    <cellStyle name="20% - Accent2 2" xfId="3389"/>
    <cellStyle name="20% - Accent2 2 2" xfId="3390"/>
    <cellStyle name="20% - Accent2 3" xfId="3391"/>
    <cellStyle name="20% - Accent2 4" xfId="3392"/>
    <cellStyle name="20% - Accent2 5" xfId="3393"/>
    <cellStyle name="20% - Accent3 2" xfId="3394"/>
    <cellStyle name="20% - Accent3 2 2" xfId="3395"/>
    <cellStyle name="20% - Accent3 3" xfId="3396"/>
    <cellStyle name="20% - Accent3 4" xfId="3397"/>
    <cellStyle name="20% - Accent3 5" xfId="3398"/>
    <cellStyle name="20% - Accent4 2" xfId="3399"/>
    <cellStyle name="20% - Accent4 2 2" xfId="3400"/>
    <cellStyle name="20% - Accent4 3" xfId="3401"/>
    <cellStyle name="20% - Accent4 4" xfId="3402"/>
    <cellStyle name="20% - Accent4 5" xfId="3403"/>
    <cellStyle name="20% - Accent5 2" xfId="3404"/>
    <cellStyle name="20% - Accent5 2 2" xfId="3405"/>
    <cellStyle name="20% - Accent5 3" xfId="3406"/>
    <cellStyle name="20% - Accent5 4" xfId="3407"/>
    <cellStyle name="20% - Accent5 5" xfId="3408"/>
    <cellStyle name="20% - Accent6 2" xfId="3409"/>
    <cellStyle name="20% - Accent6 2 2" xfId="3410"/>
    <cellStyle name="20% - Accent6 3" xfId="3411"/>
    <cellStyle name="20% - Accent6 4" xfId="3412"/>
    <cellStyle name="20% - Accent6 5" xfId="3413"/>
    <cellStyle name="3 Decimals" xfId="3414"/>
    <cellStyle name="40% - Accent1 2" xfId="3415"/>
    <cellStyle name="40% - Accent1 2 2" xfId="3416"/>
    <cellStyle name="40% - Accent1 3" xfId="3417"/>
    <cellStyle name="40% - Accent1 4" xfId="3418"/>
    <cellStyle name="40% - Accent1 5" xfId="3419"/>
    <cellStyle name="40% - Accent2 2" xfId="3420"/>
    <cellStyle name="40% - Accent2 2 2" xfId="3421"/>
    <cellStyle name="40% - Accent2 3" xfId="3422"/>
    <cellStyle name="40% - Accent2 4" xfId="3423"/>
    <cellStyle name="40% - Accent2 5" xfId="3424"/>
    <cellStyle name="40% - Accent3 2" xfId="3425"/>
    <cellStyle name="40% - Accent3 2 2" xfId="3426"/>
    <cellStyle name="40% - Accent3 3" xfId="3427"/>
    <cellStyle name="40% - Accent3 4" xfId="3428"/>
    <cellStyle name="40% - Accent3 5" xfId="3429"/>
    <cellStyle name="40% - Accent4 2" xfId="3430"/>
    <cellStyle name="40% - Accent4 2 2" xfId="3431"/>
    <cellStyle name="40% - Accent4 3" xfId="3432"/>
    <cellStyle name="40% - Accent4 4" xfId="3433"/>
    <cellStyle name="40% - Accent4 5" xfId="3434"/>
    <cellStyle name="40% - Accent5 2" xfId="3435"/>
    <cellStyle name="40% - Accent5 2 2" xfId="3436"/>
    <cellStyle name="40% - Accent5 3" xfId="3437"/>
    <cellStyle name="40% - Accent5 4" xfId="3438"/>
    <cellStyle name="40% - Accent5 5" xfId="3439"/>
    <cellStyle name="40% - Accent6 2" xfId="3440"/>
    <cellStyle name="40% - Accent6 2 2" xfId="3441"/>
    <cellStyle name="40% - Accent6 3" xfId="3442"/>
    <cellStyle name="40% - Accent6 4" xfId="3443"/>
    <cellStyle name="40% - Accent6 5" xfId="3444"/>
    <cellStyle name="60% - Accent1 2" xfId="3445"/>
    <cellStyle name="60% - Accent1 2 2" xfId="3446"/>
    <cellStyle name="60% - Accent2 2" xfId="3447"/>
    <cellStyle name="60% - Accent2 2 2" xfId="3448"/>
    <cellStyle name="60% - Accent3 2" xfId="3449"/>
    <cellStyle name="60% - Accent3 2 2" xfId="3450"/>
    <cellStyle name="60% - Accent4 2" xfId="3451"/>
    <cellStyle name="60% - Accent4 2 2" xfId="3452"/>
    <cellStyle name="60% - Accent5 2" xfId="3453"/>
    <cellStyle name="60% - Accent5 2 2" xfId="3454"/>
    <cellStyle name="60% - Accent6 2" xfId="3455"/>
    <cellStyle name="60% - Accent6 2 2" xfId="3456"/>
    <cellStyle name="Accent1 2" xfId="3457"/>
    <cellStyle name="Accent1 2 2" xfId="3458"/>
    <cellStyle name="Accent2 2" xfId="3459"/>
    <cellStyle name="Accent2 2 2" xfId="3460"/>
    <cellStyle name="Accent3 2" xfId="3461"/>
    <cellStyle name="Accent3 2 2" xfId="3462"/>
    <cellStyle name="Accent4 2" xfId="3463"/>
    <cellStyle name="Accent4 2 2" xfId="3464"/>
    <cellStyle name="Accent5 2" xfId="3465"/>
    <cellStyle name="Accent5 2 2" xfId="3466"/>
    <cellStyle name="Accent6 2" xfId="3467"/>
    <cellStyle name="Accent6 2 2" xfId="3468"/>
    <cellStyle name="acct" xfId="3469"/>
    <cellStyle name="act" xfId="3470"/>
    <cellStyle name="Actual data" xfId="3471"/>
    <cellStyle name="Actual year" xfId="3472"/>
    <cellStyle name="Actuals Cells" xfId="3473"/>
    <cellStyle name="AJHCustom" xfId="3474"/>
    <cellStyle name="arial" xfId="3475"/>
    <cellStyle name="Arial6Bold" xfId="3476"/>
    <cellStyle name="Arial8Bold" xfId="3477"/>
    <cellStyle name="Arial8Italic" xfId="3478"/>
    <cellStyle name="As_Reported" xfId="3479"/>
    <cellStyle name="Awaiting LAS" xfId="3480"/>
    <cellStyle name="Bad 2" xfId="3481"/>
    <cellStyle name="Bad 2 2" xfId="3482"/>
    <cellStyle name="Banner" xfId="3483"/>
    <cellStyle name="bbox" xfId="3484"/>
    <cellStyle name="Block Titles" xfId="3485"/>
    <cellStyle name="Blue heading" xfId="3486"/>
    <cellStyle name="Blue Title" xfId="3487"/>
    <cellStyle name="blue$00" xfId="3488"/>
    <cellStyle name="Blue_02 Enersys - SAFT Merger_DH" xfId="3489"/>
    <cellStyle name="bord" xfId="3490"/>
    <cellStyle name="Border Years" xfId="3491"/>
    <cellStyle name="c 2" xfId="3492"/>
    <cellStyle name="c_lbo_profstaff1" xfId="3493"/>
    <cellStyle name="c_lbo_profstaff1 2" xfId="3494"/>
    <cellStyle name="Cabecera 1" xfId="3495"/>
    <cellStyle name="Cabecera 2" xfId="3496"/>
    <cellStyle name="Calc Cells" xfId="3497"/>
    <cellStyle name="Calculation 2" xfId="3498"/>
    <cellStyle name="Calculation 2 2" xfId="3499"/>
    <cellStyle name="Check Cell 2" xfId="3500"/>
    <cellStyle name="Check Cell 2 2" xfId="3501"/>
    <cellStyle name="claire" xfId="3502"/>
    <cellStyle name="Collegamento ipertestuale_MIDI MEDIA1" xfId="3503"/>
    <cellStyle name="Comma 10 2" xfId="3504"/>
    <cellStyle name="Comma 10 2 2" xfId="3505"/>
    <cellStyle name="Comma 10 2 3" xfId="3506"/>
    <cellStyle name="Comma 10 2 4" xfId="3507"/>
    <cellStyle name="Comma 10 3" xfId="3508"/>
    <cellStyle name="Comma 10 3 2" xfId="3509"/>
    <cellStyle name="Comma 10 3 3" xfId="3510"/>
    <cellStyle name="Comma 10 3 4" xfId="3511"/>
    <cellStyle name="Comma 10 4" xfId="3512"/>
    <cellStyle name="Comma 10 5" xfId="3513"/>
    <cellStyle name="Comma 10 6" xfId="3514"/>
    <cellStyle name="Comma 11 2" xfId="3515"/>
    <cellStyle name="Comma 11 2 2" xfId="3516"/>
    <cellStyle name="Comma 11 2 3" xfId="3517"/>
    <cellStyle name="Comma 11 2 4" xfId="3518"/>
    <cellStyle name="Comma 11 3" xfId="3519"/>
    <cellStyle name="Comma 11 3 2" xfId="3520"/>
    <cellStyle name="Comma 11 3 3" xfId="3521"/>
    <cellStyle name="Comma 11 3 4" xfId="3522"/>
    <cellStyle name="Comma 11 4" xfId="3523"/>
    <cellStyle name="Comma 11 5" xfId="3524"/>
    <cellStyle name="Comma 11 6" xfId="3525"/>
    <cellStyle name="Comma 12 2" xfId="3526"/>
    <cellStyle name="Comma 12 3" xfId="3527"/>
    <cellStyle name="Comma 13 2" xfId="3528"/>
    <cellStyle name="Comma 14 2" xfId="3529"/>
    <cellStyle name="Comma 15 2" xfId="3530"/>
    <cellStyle name="Comma 17" xfId="3531"/>
    <cellStyle name="Comma 18" xfId="3532"/>
    <cellStyle name="Comma 19" xfId="3533"/>
    <cellStyle name="Comma 2 2" xfId="3534"/>
    <cellStyle name="Comma 2 2 2" xfId="3535"/>
    <cellStyle name="Comma 2 3" xfId="3536"/>
    <cellStyle name="Comma 2 4" xfId="3537"/>
    <cellStyle name="Comma 2 5" xfId="3538"/>
    <cellStyle name="Comma 2 6" xfId="3539"/>
    <cellStyle name="Comma 2 7" xfId="3540"/>
    <cellStyle name="Comma 2 8" xfId="3541"/>
    <cellStyle name="Comma 20" xfId="3542"/>
    <cellStyle name="Comma 20 2" xfId="3543"/>
    <cellStyle name="Comma 20 3" xfId="3544"/>
    <cellStyle name="Comma 20 4" xfId="3545"/>
    <cellStyle name="Comma 21" xfId="3546"/>
    <cellStyle name="Comma 22" xfId="3547"/>
    <cellStyle name="Comma 23" xfId="3548"/>
    <cellStyle name="Comma 23 2" xfId="3549"/>
    <cellStyle name="Comma 23 2 2" xfId="3550"/>
    <cellStyle name="Comma 24" xfId="3551"/>
    <cellStyle name="Comma 25" xfId="3552"/>
    <cellStyle name="Comma 26" xfId="3553"/>
    <cellStyle name="Comma 26 2" xfId="3554"/>
    <cellStyle name="Comma 27" xfId="3555"/>
    <cellStyle name="Comma 28" xfId="3556"/>
    <cellStyle name="Comma 3 2" xfId="3557"/>
    <cellStyle name="Comma 3 2 2" xfId="3558"/>
    <cellStyle name="Comma 3 3" xfId="3559"/>
    <cellStyle name="Comma 3 4" xfId="3560"/>
    <cellStyle name="Comma 3 5" xfId="3561"/>
    <cellStyle name="Comma 3 6" xfId="3562"/>
    <cellStyle name="Comma 4 2" xfId="3563"/>
    <cellStyle name="Comma 4 3" xfId="3564"/>
    <cellStyle name="Comma 5 2" xfId="3565"/>
    <cellStyle name="Comma 5 3" xfId="3566"/>
    <cellStyle name="Comma 6 2" xfId="3567"/>
    <cellStyle name="Comma 6 2 2" xfId="3568"/>
    <cellStyle name="Comma 6 2 3" xfId="3569"/>
    <cellStyle name="Comma 6 2 4" xfId="3570"/>
    <cellStyle name="Comma 6 3" xfId="3571"/>
    <cellStyle name="Comma 6 3 2" xfId="3572"/>
    <cellStyle name="Comma 6 3 3" xfId="3573"/>
    <cellStyle name="Comma 6 3 4" xfId="3574"/>
    <cellStyle name="Comma 6 4" xfId="3575"/>
    <cellStyle name="Comma 6 5" xfId="3576"/>
    <cellStyle name="Comma 6 6" xfId="3577"/>
    <cellStyle name="Comma 8 2" xfId="3578"/>
    <cellStyle name="Comma 8 2 2" xfId="3579"/>
    <cellStyle name="Comma 8 2 3" xfId="3580"/>
    <cellStyle name="Comma 8 2 4" xfId="3581"/>
    <cellStyle name="Comma 8 3" xfId="3582"/>
    <cellStyle name="Comma 8 3 2" xfId="3583"/>
    <cellStyle name="Comma 8 3 3" xfId="3584"/>
    <cellStyle name="Comma 8 3 4" xfId="3585"/>
    <cellStyle name="Comma 8 4" xfId="3586"/>
    <cellStyle name="Comma 8 5" xfId="3587"/>
    <cellStyle name="Comma 8 6" xfId="3588"/>
    <cellStyle name="Comma 9 2" xfId="3589"/>
    <cellStyle name="Comma 9 2 2" xfId="3590"/>
    <cellStyle name="Comma 9 2 3" xfId="3591"/>
    <cellStyle name="Comma 9 2 4" xfId="3592"/>
    <cellStyle name="Comma 9 3" xfId="3593"/>
    <cellStyle name="Comma 9 3 2" xfId="3594"/>
    <cellStyle name="Comma 9 3 3" xfId="3595"/>
    <cellStyle name="Comma 9 3 4" xfId="3596"/>
    <cellStyle name="Comma 9 4" xfId="3597"/>
    <cellStyle name="Comma 9 5" xfId="3598"/>
    <cellStyle name="Comma 9 6" xfId="3599"/>
    <cellStyle name="Comma, 1dec" xfId="3600"/>
    <cellStyle name="Comma[0]" xfId="3601"/>
    <cellStyle name="Company_CSC July 24" xfId="3602"/>
    <cellStyle name="Copy Decimal 0" xfId="3603"/>
    <cellStyle name="Copy Decimal 0,00" xfId="3604"/>
    <cellStyle name="Copy Percent 0" xfId="3605"/>
    <cellStyle name="Copy Percent 0,00" xfId="3606"/>
    <cellStyle name="Cost" xfId="3607"/>
    <cellStyle name="Currency dollars[0]" xfId="3608"/>
    <cellStyle name="Currencyunder" xfId="3609"/>
    <cellStyle name="Date - d-mmm" xfId="3610"/>
    <cellStyle name="Date - d-mmm-yy" xfId="3611"/>
    <cellStyle name="Date - mmm-yy" xfId="3612"/>
    <cellStyle name="date - Style5" xfId="3613"/>
    <cellStyle name="David" xfId="3614"/>
    <cellStyle name="Decimal 0,0" xfId="3615"/>
    <cellStyle name="Decimal 0,00" xfId="3616"/>
    <cellStyle name="Decimal 0,0000" xfId="3617"/>
    <cellStyle name="default" xfId="3618"/>
    <cellStyle name="Dezimal [+line]" xfId="3619"/>
    <cellStyle name="Dezimal [0]_ !gesamt planIst 94" xfId="3620"/>
    <cellStyle name="Dezimal +" xfId="3621"/>
    <cellStyle name="Dezimal + 0" xfId="3622"/>
    <cellStyle name="Normal 5 3" xfId="3623"/>
    <cellStyle name="_Comma 2 3" xfId="3624"/>
    <cellStyle name="5_Percent 5" xfId="3625"/>
    <cellStyle name="_ClearFormat 4" xfId="3626"/>
    <cellStyle name="_x0010_" xfId="3627"/>
    <cellStyle name="Heading 1" xfId="3628" builtinId="16"/>
    <cellStyle name="%input" xfId="3629"/>
    <cellStyle name="_Currency 4" xfId="3630"/>
    <cellStyle name="_Multiple 5" xfId="3631"/>
    <cellStyle name="_WACC Attack (Fairness Approved)" xfId="3632"/>
    <cellStyle name="=C:\WINNT\SYSTEM32\COMMAND.COM" xfId="3633"/>
    <cellStyle name="1_HardCode" xfId="3634"/>
    <cellStyle name="2_OtherSheet" xfId="3635"/>
    <cellStyle name="5_Percent" xfId="3636"/>
    <cellStyle name="blp_column_header" xfId="3637"/>
    <cellStyle name="Comma 2 3 3" xfId="3638"/>
    <cellStyle name="Comma 55" xfId="3639"/>
    <cellStyle name="General heading" xfId="3640"/>
    <cellStyle name="Heading 2 2" xfId="3641"/>
    <cellStyle name="Historical" xfId="3642"/>
    <cellStyle name="Input Number" xfId="3643"/>
    <cellStyle name="b_Project Lucy model v40 160305 3" xfId="3644"/>
    <cellStyle name="_Table 2" xfId="3645"/>
    <cellStyle name="_Table_02 WACC Analysis 2" xfId="3646"/>
    <cellStyle name="_Table_Betas 2" xfId="3647"/>
    <cellStyle name="_Table_Cairo LBO model - Sept 06 2" xfId="3648"/>
    <cellStyle name="_Table_Feeder 2" xfId="3649"/>
    <cellStyle name="_Table_M&amp;A Model 2" xfId="3650"/>
    <cellStyle name="_Table_M&amp;A projections 2" xfId="3651"/>
    <cellStyle name="_Table_MTU Diesel LBO Model 2" xfId="3652"/>
    <cellStyle name="_Table_StockGroupKeyFinancials 2" xfId="3653"/>
    <cellStyle name="_Table_underwrite table 2" xfId="3654"/>
    <cellStyle name="Assum 0 2" xfId="3655"/>
    <cellStyle name="Assum 1,$ 2" xfId="3656"/>
    <cellStyle name="Assum 1,% 2" xfId="3657"/>
    <cellStyle name="b_GKN_FNM model v3 2" xfId="3658"/>
    <cellStyle name="BoldText 2" xfId="3659"/>
    <cellStyle name="Border Thin Up 2" xfId="3660"/>
    <cellStyle name="Border, Right 2" xfId="3661"/>
    <cellStyle name="Border, Top 2" xfId="3662"/>
    <cellStyle name="bout 2" xfId="3663"/>
    <cellStyle name="bss0 2" xfId="3664"/>
    <cellStyle name="bss2 2" xfId="3665"/>
    <cellStyle name="Comma [0] Total 2" xfId="3666"/>
    <cellStyle name="Comma [1] Total 2" xfId="3667"/>
    <cellStyle name="Comma [2] Total 2" xfId="3668"/>
    <cellStyle name="Currency [0] Total 2" xfId="3669"/>
    <cellStyle name="Currency [1] Total 2" xfId="3670"/>
    <cellStyle name="Currency [2] Total 2" xfId="3671"/>
    <cellStyle name="Currency 2 Total 2" xfId="3672"/>
    <cellStyle name="Date 2" xfId="3673"/>
    <cellStyle name="InputDate 2" xfId="3674"/>
    <cellStyle name="MultipleInput 2" xfId="3675"/>
    <cellStyle name="norma;l 2" xfId="3676"/>
    <cellStyle name="normal; 2" xfId="3677"/>
    <cellStyle name="Number 2" xfId="3678"/>
    <cellStyle name="p_M&amp;A Model 2" xfId="3679"/>
    <cellStyle name="p_M&amp;A projections 2" xfId="3680"/>
    <cellStyle name="percemt 2" xfId="3681"/>
    <cellStyle name="Percent [0] Total 2" xfId="3682"/>
    <cellStyle name="Percent [00] 2" xfId="3683"/>
    <cellStyle name="Percent [1] Total 2" xfId="3684"/>
    <cellStyle name="Percent [2] Total 2" xfId="3685"/>
    <cellStyle name="percnet 2" xfId="3686"/>
    <cellStyle name="Pounds Total 2 2" xfId="3687"/>
    <cellStyle name="s_WACC benchmarking 2" xfId="3688"/>
    <cellStyle name="ss0 2" xfId="3689"/>
    <cellStyle name="ss1 2" xfId="3690"/>
    <cellStyle name="ss2 2" xfId="3691"/>
    <cellStyle name="Strictly confidential 2" xfId="3692"/>
    <cellStyle name="Subtotal 2" xfId="3693"/>
    <cellStyle name="TableBase 2" xfId="3694"/>
    <cellStyle name="Times [1] Total 2" xfId="3695"/>
    <cellStyle name="Times [2] Total 2" xfId="3696"/>
    <cellStyle name="Topline 2" xfId="3697"/>
    <cellStyle name="Underscore 2" xfId="3698"/>
    <cellStyle name="Input 2 2" xfId="3699"/>
    <cellStyle name="b_Project Lucy model v40 160305_Gondola Debt &amp; Valuation Model - 041109 2" xfId="3700"/>
    <cellStyle name="Input 3 2" xfId="3701"/>
    <cellStyle name="Input 4 2" xfId="3702"/>
    <cellStyle name="Input 5 2" xfId="3703"/>
    <cellStyle name="Input 10 2" xfId="3704"/>
    <cellStyle name="Input 8 2" xfId="3705"/>
    <cellStyle name="Input 9 2" xfId="3706"/>
    <cellStyle name="Input 6 2" xfId="3707"/>
    <cellStyle name="Input 7 2" xfId="3708"/>
    <cellStyle name="Input 11 2" xfId="3709"/>
    <cellStyle name="Input 12 2" xfId="3710"/>
    <cellStyle name="Input 13 2" xfId="3711"/>
    <cellStyle name="Input 14 2" xfId="3712"/>
    <cellStyle name="b_Project Lucy model v40 160305 2 2" xfId="3713"/>
    <cellStyle name="CALC Amount Total 2" xfId="3714"/>
    <cellStyle name="Normal 16 2" xfId="3715"/>
    <cellStyle name="_Table_01 Capital Structure 2" xfId="3716"/>
    <cellStyle name="_Table_01 Capital Structure_03_ Clean LBO Model 2" xfId="3717"/>
    <cellStyle name="_Table_01 Capital Structure_05_ Clean LBO Model 2" xfId="3718"/>
    <cellStyle name="_Table_01 Capital Structure_08 Valuation Model incl. new BP 2" xfId="3719"/>
    <cellStyle name="_Table_01 Capital Structure_09 Valuation Model incl. new BP 2" xfId="3720"/>
    <cellStyle name="_Table_01 Capital Structure_13 Valuation Model incl. new BP 2" xfId="3721"/>
    <cellStyle name="_Table_01 Capital Structure_14 Valuation Model incl. new BP 2" xfId="3722"/>
    <cellStyle name="_Table_01 Capital Structure_15_ Clean LBO Model 2" xfId="3723"/>
    <cellStyle name="_Table_01 Capital Structure_20 Valuation Model incl. new BP 2" xfId="3724"/>
    <cellStyle name="_Table_01 Capital Structure_25 Valuation Model incl. new BP 2" xfId="3725"/>
    <cellStyle name="_Table_01 Capital Structure_33 Valuation Model incl. new BP 2" xfId="3726"/>
    <cellStyle name="_Table_01 Capital Structure_34 Valuation Model incl. new BP 2" xfId="3727"/>
    <cellStyle name="_Table_01 Capital Structure_37 Valuation Model incl. new BP 2" xfId="3728"/>
    <cellStyle name="_Table_01 Capital Structure_38 Valuation Model incl. new BP 2" xfId="3729"/>
    <cellStyle name="_Table_01 Capital Structure_39 Valuation Model incl. new BP 2" xfId="3730"/>
    <cellStyle name="_Table_01 Capital Structure_40 Valuation Model incl. new BP 2" xfId="3731"/>
    <cellStyle name="_Table_01 Capital Structure_44 Valuation Model incl. new BP 2" xfId="3732"/>
    <cellStyle name="_Table_01 Offering Breakdown 2" xfId="3733"/>
    <cellStyle name="_Table_02 DCF 2" xfId="3734"/>
    <cellStyle name="_Table_02 Enersys Merger Plan 2" xfId="3735"/>
    <cellStyle name="_Table_02 Enersys Merger Plan_03_ Clean LBO Model 2" xfId="3736"/>
    <cellStyle name="_Table_02 Enersys Merger Plan_05_ Clean LBO Model 2" xfId="3737"/>
    <cellStyle name="_Table_02 Enersys Merger Plan_08 Valuation Model incl. new BP 2" xfId="3738"/>
    <cellStyle name="_Table_02 Enersys Merger Plan_09 Valuation Model incl. new BP 2" xfId="3739"/>
    <cellStyle name="_Table_02 Enersys Merger Plan_13 Valuation Model incl. new BP 2" xfId="3740"/>
    <cellStyle name="_Table_02 Enersys Merger Plan_14 Valuation Model incl. new BP 2" xfId="3741"/>
    <cellStyle name="_Table_02 Enersys Merger Plan_15_ Clean LBO Model 2" xfId="3742"/>
    <cellStyle name="_Table_02 Enersys Merger Plan_20 Valuation Model incl. new BP 2" xfId="3743"/>
    <cellStyle name="_Table_02 Enersys Merger Plan_25 Valuation Model incl. new BP 2" xfId="3744"/>
    <cellStyle name="_Table_02 Enersys Merger Plan_33 Valuation Model incl. new BP 2" xfId="3745"/>
    <cellStyle name="_Table_02 Enersys Merger Plan_34 Valuation Model incl. new BP 2" xfId="3746"/>
    <cellStyle name="_Table_02 Enersys Merger Plan_37 Valuation Model incl. new BP 2" xfId="3747"/>
    <cellStyle name="_Table_02 Enersys Merger Plan_38 Valuation Model incl. new BP 2" xfId="3748"/>
    <cellStyle name="_Table_02 Enersys Merger Plan_39 Valuation Model incl. new BP 2" xfId="3749"/>
    <cellStyle name="_Table_02 Enersys Merger Plan_40 Valuation Model incl. new BP 2" xfId="3750"/>
    <cellStyle name="_Table_02 Enersys Merger Plan_44 Valuation Model incl. new BP 2" xfId="3751"/>
    <cellStyle name="_Table_02 Mobile CSC 2" xfId="3752"/>
    <cellStyle name="_Table_02 TDC Merger Plan 2" xfId="3753"/>
    <cellStyle name="_Table_02 TDC Merger Plan_03_ Clean LBO Model 2" xfId="3754"/>
    <cellStyle name="_Table_02 TDC Merger Plan_05_ Clean LBO Model 2" xfId="3755"/>
    <cellStyle name="_Table_02 TDC Merger Plan_08 Valuation Model incl. new BP 2" xfId="3756"/>
    <cellStyle name="_Table_02 TDC Merger Plan_09 Valuation Model incl. new BP 2" xfId="3757"/>
    <cellStyle name="_Table_02 TDC Merger Plan_13 Valuation Model incl. new BP 2" xfId="3758"/>
    <cellStyle name="_Table_02 TDC Merger Plan_14 Valuation Model incl. new BP 2" xfId="3759"/>
    <cellStyle name="_Table_02 TDC Merger Plan_15_ Clean LBO Model 2" xfId="3760"/>
    <cellStyle name="_Table_02 TDC Merger Plan_20 Valuation Model incl. new BP 2" xfId="3761"/>
    <cellStyle name="_Table_02 TDC Merger Plan_25 Valuation Model incl. new BP 2" xfId="3762"/>
    <cellStyle name="_Table_02 TDC Merger Plan_33 Valuation Model incl. new BP 2" xfId="3763"/>
    <cellStyle name="_Table_02 TDC Merger Plan_34 Valuation Model incl. new BP 2" xfId="3764"/>
    <cellStyle name="_Table_02 TDC Merger Plan_37 Valuation Model incl. new BP 2" xfId="3765"/>
    <cellStyle name="_Table_02 TDC Merger Plan_38 Valuation Model incl. new BP 2" xfId="3766"/>
    <cellStyle name="_Table_02 TDC Merger Plan_39 Valuation Model incl. new BP 2" xfId="3767"/>
    <cellStyle name="_Table_02 TDC Merger Plan_40 Valuation Model incl. new BP 2" xfId="3768"/>
    <cellStyle name="_Table_02 TDC Merger Plan_44 Valuation Model incl. new BP 2" xfId="3769"/>
    <cellStyle name="_Table_03 Total Expenses 2" xfId="3770"/>
    <cellStyle name="_Table_04 Volatility 2" xfId="3771"/>
    <cellStyle name="_Table_07 Model Alcatel OFD Sept-03 2" xfId="3772"/>
    <cellStyle name="_Table_19 Valuation of Cegetel 2" xfId="3773"/>
    <cellStyle name="_Table_19 Valuation of Cegetel_03_ Clean LBO Model 2" xfId="3774"/>
    <cellStyle name="_Table_19 Valuation of Cegetel_05_ Clean LBO Model 2" xfId="3775"/>
    <cellStyle name="_Table_19 Valuation of Cegetel_08 Valuation Model incl. new BP 2" xfId="3776"/>
    <cellStyle name="_Table_19 Valuation of Cegetel_09 Valuation Model incl. new BP 2" xfId="3777"/>
    <cellStyle name="_Table_19 Valuation of Cegetel_13 Valuation Model incl. new BP 2" xfId="3778"/>
    <cellStyle name="_Table_19 Valuation of Cegetel_14 Valuation Model incl. new BP 2" xfId="3779"/>
    <cellStyle name="_Table_19 Valuation of Cegetel_15_ Clean LBO Model 2" xfId="3780"/>
    <cellStyle name="_Table_19 Valuation of Cegetel_20 Valuation Model incl. new BP 2" xfId="3781"/>
    <cellStyle name="_Table_19 Valuation of Cegetel_25 Valuation Model incl. new BP 2" xfId="3782"/>
    <cellStyle name="_Table_19 Valuation of Cegetel_33 Valuation Model incl. new BP 2" xfId="3783"/>
    <cellStyle name="_Table_19 Valuation of Cegetel_34 Valuation Model incl. new BP 2" xfId="3784"/>
    <cellStyle name="_Table_19 Valuation of Cegetel_37 Valuation Model incl. new BP 2" xfId="3785"/>
    <cellStyle name="_Table_19 Valuation of Cegetel_38 Valuation Model incl. new BP 2" xfId="3786"/>
    <cellStyle name="_Table_19 Valuation of Cegetel_39 Valuation Model incl. new BP 2" xfId="3787"/>
    <cellStyle name="_Table_19 Valuation of Cegetel_40 Valuation Model incl. new BP 2" xfId="3788"/>
    <cellStyle name="_Table_19 Valuation of Cegetel_44 Valuation Model incl. new BP 2" xfId="3789"/>
    <cellStyle name="_Table_190503 Model2 2" xfId="3790"/>
    <cellStyle name="_Table_20 Operational Model 2" xfId="3791"/>
    <cellStyle name="_Table_44 Valuation Model incl. new BP 2" xfId="3792"/>
    <cellStyle name="_Table_Barra Betas1 2" xfId="3793"/>
    <cellStyle name="_Table_Bottom-Up Site Analysis (220801) 2" xfId="3794"/>
    <cellStyle name="_Table_Bottom-Up Site Analysis v2 2" xfId="3795"/>
    <cellStyle name="_Table_CSC - revised version 27 october 2" xfId="3796"/>
    <cellStyle name="_Table_deal comp data 99 reduced 2" xfId="3797"/>
    <cellStyle name="_Table_Financial and Credit Impact 2" xfId="3798"/>
    <cellStyle name="_Table_Financing alternatives key credit 2" xfId="3799"/>
    <cellStyle name="_Table_Marionnaud DCF Sept-03 2" xfId="3800"/>
    <cellStyle name="_Table_Marionnaud Model_15April 2" xfId="3801"/>
    <cellStyle name="_Table_Offering Breakdown - 09-Jun -2005 2" xfId="3802"/>
    <cellStyle name="_Table_Options_Converts 2" xfId="3803"/>
    <cellStyle name="_Table_Rollout of 26 - 36 Networks in Finland 2" xfId="3804"/>
    <cellStyle name="_Table_Unibase Preliminary Valuations 2" xfId="3805"/>
    <cellStyle name="_Table_Volatility 2" xfId="3806"/>
    <cellStyle name="_Table_Working Capital Swings 2" xfId="3807"/>
    <cellStyle name="Block Titles 2" xfId="3808"/>
    <cellStyle name="Hardcode 2" xfId="3809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JPMorgan Chase &amp; Co.</author>
  </authors>
  <commentList>
    <comment ref="A1" authorId="0" shapeId="0">
      <text>
        <t>&lt;?xml version="1.0" encoding="utf-8"?&gt;&lt;Schema xmlns:xsi="http://www.w3.org/2001/XMLSchema-instance" xmlns:xsd="http://www.w3.org/2001/XMLSchema" Version="1"&gt;&lt;FQL&gt;&lt;Q&gt;HFD-GB^JULIAN(FG_PRICE(43488,43853).DATES)&lt;/Q&gt;&lt;R&gt;260&lt;/R&gt;&lt;C&gt;1&lt;/C&gt;&lt;D xsi:type="xsd:int"&gt;43488&lt;/D&gt;&lt;D xsi:type="xsd:int"&gt;43489&lt;/D&gt;&lt;D xsi:type="xsd:int"&gt;43490&lt;/D&gt;&lt;D xsi:type="xsd:int"&gt;43493&lt;/D&gt;&lt;D xsi:type="xsd:int"&gt;43494&lt;/D&gt;&lt;D xsi:type="xsd:int"&gt;43495&lt;/D&gt;&lt;D xsi:type="xsd:int"&gt;43496&lt;/D&gt;&lt;D xsi:type="xsd:int"&gt;43497&lt;/D&gt;&lt;D xsi:type="xsd:int"&gt;43500&lt;/D&gt;&lt;D xsi:type="xsd:int"&gt;43501&lt;/D&gt;&lt;D xsi:type="xsd:int"&gt;43502&lt;/D&gt;&lt;D xsi:type="xsd:int"&gt;43503&lt;/D&gt;&lt;D xsi:type="xsd:int"&gt;43504&lt;/D&gt;&lt;D xsi:type="xsd:int"&gt;43507&lt;/D&gt;&lt;D xsi:type="xsd:int"&gt;43508&lt;/D&gt;&lt;D xsi:type="xsd:int"&gt;43509&lt;/D&gt;&lt;D xsi:type="xsd:int"&gt;43510&lt;/D&gt;&lt;D xsi:type="xsd:int"&gt;43511&lt;/D&gt;&lt;D xsi:type="xsd:int"&gt;43514&lt;/D&gt;&lt;D xsi:type="xsd:int"&gt;43515&lt;/D&gt;&lt;D xsi:type="xsd:int"&gt;43516&lt;/D&gt;&lt;D xsi:type="xsd:int"&gt;43517&lt;/D&gt;&lt;D xsi:type="xsd:int"&gt;43518&lt;/D&gt;&lt;D xsi:type="xsd:int"&gt;43521&lt;/D&gt;&lt;D xsi:type="xsd:int"&gt;43522&lt;/D&gt;&lt;D xsi:type="xsd:int"&gt;43523&lt;/D&gt;&lt;D xsi:type="xsd:int"&gt;43524&lt;/D&gt;&lt;D xsi:type="xsd:int"&gt;43525&lt;/D&gt;&lt;D xsi:type="xsd:int"&gt;43528&lt;/D&gt;&lt;D xsi:type="xsd:int"&gt;43529&lt;/D&gt;&lt;D xsi:type="xsd:int"&gt;43530&lt;/D&gt;&lt;D xsi:type="xsd:int"&gt;43531&lt;/D&gt;&lt;D xsi:type="xsd:int"&gt;43532&lt;/D&gt;&lt;D xsi:type="xsd:int"&gt;43535&lt;/D&gt;&lt;D xsi:type="xsd:int"&gt;43536&lt;/D&gt;&lt;D xsi:type="xsd:int"&gt;43537&lt;/D&gt;&lt;D xsi:type="xsd:int"&gt;43538&lt;/D&gt;&lt;D xsi:type="xsd:int"&gt;43539&lt;/D&gt;&lt;D xsi:type="xsd:int"&gt;43542&lt;/D&gt;&lt;D xsi:type="xsd:int"&gt;43543&lt;/D&gt;&lt;D xsi:type="xsd:int"&gt;43544&lt;/D&gt;&lt;D xsi:type="xsd:int"&gt;43545&lt;/D&gt;&lt;D xsi:type="xsd:int"&gt;43546&lt;/D&gt;&lt;D xsi:type="xsd:int"&gt;43549&lt;/D&gt;&lt;D xsi:type="xsd:int"&gt;43550&lt;/D&gt;&lt;D xsi:type="xsd:int"&gt;43551&lt;/D&gt;&lt;D xsi:type="xsd:int"&gt;43552&lt;/D&gt;&lt;D xsi:type="xsd:int"&gt;43553&lt;/D&gt;&lt;D xsi:type="xsd:int"&gt;43556&lt;/D&gt;&lt;D xsi:type="xsd:int"&gt;43557&lt;/D&gt;&lt;D xsi:type="xsd:int"&gt;43558&lt;/D&gt;&lt;D xsi:type="xsd:int"&gt;43559&lt;/D&gt;&lt;D xsi:type="xsd:int"&gt;43560&lt;/D&gt;&lt;D xsi:type="xsd:int"&gt;43563&lt;/D&gt;&lt;D xsi:type="xsd:int"&gt;43564&lt;/D&gt;&lt;D xsi:type="xsd:int"&gt;43565&lt;/D&gt;&lt;D xsi:type="xsd:int"&gt;43566&lt;/D&gt;&lt;D xsi:type="xsd:int"&gt;43567&lt;/D&gt;&lt;D xsi:type="xsd:int"&gt;43570&lt;/D&gt;&lt;D xsi:type="xsd:int"&gt;43571&lt;/D&gt;&lt;D xsi:type="xsd:int"&gt;43572&lt;/D&gt;&lt;D xsi:type="xsd:int"&gt;43573&lt;/D&gt;&lt;D xsi:type="xsd:int"&gt;43574&lt;/D&gt;&lt;D xsi:type="xsd:int"&gt;43577&lt;/D&gt;&lt;D xsi:type="xsd:int"&gt;43578&lt;/D&gt;&lt;D xsi:type="xsd:int"&gt;43579&lt;/D&gt;&lt;D xsi:type="xsd:int"&gt;43580&lt;/D&gt;&lt;D xsi:type="xsd:int"&gt;43581&lt;/D&gt;&lt;D xsi:type="xsd:int"&gt;43584&lt;/D&gt;&lt;D xsi:type="xsd:int"&gt;43585&lt;/D&gt;&lt;D xsi:type="xsd:int"&gt;43586&lt;/D&gt;&lt;D xsi:type="xsd:int"&gt;43587&lt;/D&gt;&lt;D xsi:type="xsd:int"&gt;43588&lt;/D&gt;&lt;D xsi:type="xsd:int"&gt;43591&lt;/D&gt;&lt;D xsi:type="xsd:int"&gt;43592&lt;/D&gt;&lt;D xsi:type="xsd:int"&gt;43593&lt;/D&gt;&lt;D xsi:type="xsd:int"&gt;43594&lt;/D&gt;&lt;D xsi:type="xsd:int"&gt;43595&lt;/D&gt;&lt;D xsi:type="xsd:int"&gt;43598&lt;/D&gt;&lt;D xsi:type="xsd:int"&gt;43599&lt;/D&gt;&lt;D xsi:type="xsd:int"&gt;43600&lt;/D&gt;&lt;D xsi:type="xsd:int"&gt;43601&lt;/D&gt;&lt;D xsi:type="xsd:int"&gt;43602&lt;/D&gt;&lt;D xsi:type="xsd:int"&gt;43605&lt;/D&gt;&lt;D xsi:type="xsd:int"&gt;43606&lt;/D&gt;&lt;D xsi:type="xsd:int"&gt;43607&lt;/D&gt;&lt;D xsi:type="xsd:int"&gt;43608&lt;/D&gt;&lt;D xsi:type="xsd:int"&gt;43609&lt;/D&gt;&lt;D xsi:type="xsd:int"&gt;43612&lt;/D&gt;&lt;D xsi:type="xsd:int"&gt;43613&lt;/D&gt;&lt;D xsi:type="xsd:int"&gt;43614&lt;/D&gt;&lt;D xsi:type="xsd:int"&gt;43615&lt;/D&gt;&lt;D xsi:type="xsd:int"&gt;43616&lt;/D&gt;&lt;D xsi:type="xsd:int"&gt;43619&lt;/D&gt;&lt;D xsi:type="xsd:int"&gt;43620&lt;/D&gt;&lt;D xsi:type="xsd:int"&gt;43621&lt;/D&gt;&lt;D xsi:type="xsd:int"&gt;43622&lt;/D&gt;&lt;D xsi:type="xsd:int"&gt;43623&lt;/D&gt;&lt;D xsi:type="xsd:int"&gt;43626&lt;/D&gt;&lt;D xsi:type="xsd:int"&gt;43627&lt;/D&gt;&lt;D xsi:type="xsd:int"&gt;43628&lt;/D&gt;&lt;D xsi:type="xsd:int"&gt;43629&lt;/D&gt;&lt;D xsi:type="xsd:int"&gt;43630&lt;/D&gt;&lt;D xsi:type="xsd:int"&gt;43633&lt;/D&gt;&lt;D xsi:type="xsd:int"&gt;43634&lt;/D&gt;&lt;D xsi:type="xsd:int"&gt;43635&lt;/D&gt;&lt;D xsi:type="xsd:int"&gt;43636&lt;/D&gt;&lt;D xsi:type="xsd:int"&gt;43637&lt;/D&gt;&lt;D xsi:type="xsd:int"&gt;43640&lt;/D&gt;&lt;D xsi:type="xsd:int"&gt;43641&lt;/D&gt;&lt;D xsi:type="xsd:int"&gt;43642&lt;/D&gt;&lt;D xsi:type="xsd:int"&gt;43643&lt;/D&gt;&lt;D xsi:type="xsd:int"&gt;43644&lt;/D&gt;&lt;D xsi:type="xsd:int"&gt;43647&lt;/D&gt;&lt;D xsi:type="xsd:int"&gt;43648&lt;/D&gt;&lt;D xsi:type="xsd:int"&gt;43649&lt;/D&gt;&lt;D xsi:type="xsd:int"&gt;43650&lt;/D&gt;&lt;D xsi:type="xsd:int"&gt;43651&lt;/D&gt;&lt;D xsi:type="xsd:int"&gt;43654&lt;/D&gt;&lt;D xsi:type="xsd:int"&gt;43655&lt;/D&gt;&lt;D xsi:type="xsd:int"&gt;43656&lt;/D&gt;&lt;D xsi:type="xsd:int"&gt;43657&lt;/D&gt;&lt;D xsi:type="xsd:int"&gt;43658&lt;/D&gt;&lt;D xsi:type="xsd:int"&gt;43661&lt;/D&gt;&lt;D xsi:type="xsd:int"&gt;43662&lt;/D&gt;&lt;D xsi:type="xsd:int"&gt;43663&lt;/D&gt;&lt;D xsi:type="xsd:int"&gt;43664&lt;/D&gt;&lt;D xsi:type="xsd:int"&gt;43665&lt;/D&gt;&lt;D xsi:type="xsd:int"&gt;43668&lt;/D&gt;&lt;D xsi:type="xsd:int"&gt;43669&lt;/D&gt;&lt;D xsi:type="xsd:int"&gt;43670&lt;/D&gt;&lt;D xsi:type="xsd:int"&gt;43671&lt;/D&gt;&lt;D xsi:type="xsd:int"&gt;43672&lt;/D&gt;&lt;D xsi:type="xsd:int"&gt;43675&lt;/D&gt;&lt;D xsi:type="xsd:int"&gt;43676&lt;/D&gt;&lt;D xsi:type="xsd:int"&gt;43677&lt;/D&gt;&lt;D xsi:type="xsd:int"&gt;43678&lt;/D&gt;&lt;D xsi:type="xsd:int"&gt;43679&lt;/D&gt;&lt;D xsi:type="xsd:int"&gt;43682&lt;/D&gt;&lt;D xsi:type="xsd:int"&gt;43683&lt;/D&gt;&lt;D xsi:type="xsd:int"&gt;43684&lt;/D&gt;&lt;D xsi:type="xsd:int"&gt;43685&lt;/D&gt;&lt;D xsi:type="xsd:int"&gt;43686&lt;/D&gt;&lt;D xsi:type="xsd:int"&gt;43689&lt;/D&gt;&lt;D xsi:type="xsd:int"&gt;43690&lt;/D&gt;&lt;D xsi:type="xsd:int"&gt;43691&lt;/D&gt;&lt;D xsi:type="xsd:int"&gt;43692&lt;/D&gt;&lt;D xsi:type="xsd:int"&gt;43693&lt;/D&gt;&lt;D xsi:type="xsd:int"&gt;43696&lt;/D&gt;&lt;D xsi:type="xsd:int"&gt;43697&lt;/D&gt;&lt;D xsi:type="xsd:int"&gt;43698&lt;/D&gt;&lt;D xsi:type="xsd:int"&gt;43699&lt;/D&gt;&lt;D xsi:type="xsd:int"&gt;43700&lt;/D&gt;&lt;D xsi:type="xsd:int"&gt;43703&lt;/D&gt;&lt;D xsi:type="xsd:int"&gt;43704&lt;/D&gt;&lt;D xsi:type="xsd:int"&gt;43705&lt;/D&gt;&lt;D xsi:type="xsd:int"&gt;43706&lt;/D&gt;&lt;D xsi:type="xsd:int"&gt;43707&lt;/D&gt;&lt;D xsi:type="xsd:int"&gt;43710&lt;/D&gt;&lt;D xsi:type="xsd:int"&gt;43711&lt;/D&gt;&lt;D xsi:type="xsd:int"&gt;43712&lt;/D&gt;&lt;D xsi:type="xsd:int"&gt;43713&lt;/D&gt;&lt;D xsi:type="xsd:int"&gt;43714&lt;/D&gt;&lt;D xsi:type="xsd:int"&gt;43717&lt;/D&gt;&lt;D xsi:type="xsd:int"&gt;43718&lt;/D&gt;&lt;D xsi:type="xsd:int"&gt;43719&lt;/D&gt;&lt;D xsi:type="xsd:int"&gt;43720&lt;/D&gt;&lt;D xsi:type="xsd:int"&gt;43721&lt;/D&gt;&lt;D xsi:type="xsd:int"&gt;43724&lt;/D&gt;&lt;D xsi:type="xsd:int"&gt;43725&lt;/D&gt;&lt;D xsi:type="xsd:int"&gt;43726&lt;/D&gt;&lt;D xsi:type="xsd:int"&gt;43727&lt;/D&gt;&lt;D xsi:type="xsd:int"&gt;43728&lt;/D&gt;&lt;D xsi:type="xsd:int"&gt;43731&lt;/D&gt;&lt;D xsi:type="xsd:int"&gt;43732&lt;/D&gt;&lt;D xsi:type="xsd:int"&gt;43733&lt;/D&gt;&lt;D xsi:type="xsd:int"&gt;43734&lt;/D&gt;&lt;D xsi:type="xsd:int"&gt;43735&lt;/D&gt;&lt;D xsi:type="xsd:int"&gt;43738&lt;/D&gt;&lt;D xsi:type="xsd:int"&gt;43739&lt;/D&gt;&lt;D xsi:type="xsd:int"&gt;43740&lt;/D&gt;&lt;D xsi:type="xsd:int"&gt;43741&lt;/D&gt;&lt;D xsi:type="xsd:int"&gt;43742&lt;/D&gt;&lt;D xsi:type="xsd:int"&gt;43745&lt;/D&gt;&lt;D xsi:type="xsd:int"&gt;43746&lt;/D&gt;&lt;D xsi:type="xsd:int"&gt;43747&lt;/D&gt;&lt;D xsi:type="xsd:int"&gt;43748&lt;/D&gt;&lt;D xsi:type="xsd:int"&gt;43749&lt;/D&gt;&lt;D xsi:type="xsd:int"&gt;43752&lt;/D&gt;&lt;D xsi:type="xsd:int"&gt;43753&lt;/D&gt;&lt;D xsi:type="xsd:int"&gt;43754&lt;/D&gt;&lt;D xsi:type="xsd:int"&gt;43755&lt;/D&gt;&lt;D xsi:type="xsd:int"&gt;43756&lt;/D&gt;&lt;D xsi:type="xsd:int"&gt;43759&lt;/D&gt;&lt;D xsi:type="xsd:int"&gt;43760&lt;/D&gt;&lt;D xsi:type="xsd:int"&gt;43761&lt;/D&gt;&lt;D xsi:type="xsd:int"&gt;43762&lt;/D&gt;&lt;D xsi:type="xsd:int"&gt;43763&lt;/D&gt;&lt;D xsi:type="xsd:int"&gt;43766&lt;/D&gt;&lt;D xsi:type="xsd:int"&gt;43767&lt;/D&gt;&lt;D xsi:type="xsd:int"&gt;43768&lt;/D&gt;&lt;D xsi:type="xsd:int"&gt;43769&lt;/D&gt;&lt;D xsi:type="xsd:int"&gt;43770&lt;/D&gt;&lt;D xsi:type="xsd:int"&gt;43773&lt;/D&gt;&lt;D xsi:type="xsd:int"&gt;43774&lt;/D&gt;&lt;D xsi:type="xsd:int"&gt;43775&lt;/D&gt;&lt;D xsi:type="xsd:int"&gt;43776&lt;/D&gt;&lt;D xsi:type="xsd:int"&gt;43777&lt;/D&gt;&lt;D xsi:type="xsd:int"&gt;43780&lt;/D&gt;&lt;D xsi:type="xsd:int"&gt;43781&lt;/D&gt;&lt;D xsi:type="xsd:int"&gt;43782&lt;/D&gt;&lt;D xsi:type="xsd:int"&gt;43783&lt;/D&gt;&lt;D xsi:type="xsd:int"&gt;43784&lt;/D&gt;&lt;D xsi:type="xsd:int"&gt;43787&lt;/D&gt;&lt;D xsi:type="xsd:int"&gt;43788&lt;/D&gt;&lt;D xsi:type="xsd:int"&gt;43789&lt;/D&gt;&lt;D xsi:type="xsd:int"&gt;43790&lt;/D&gt;&lt;D xsi:type="xsd:int"&gt;43791&lt;/D&gt;&lt;D xsi:type="xsd:int"&gt;43794&lt;/D&gt;&lt;D xsi:type="xsd:int"&gt;43795&lt;/D&gt;&lt;D xsi:type="xsd:int"&gt;43796&lt;/D&gt;&lt;D xsi:type="xsd:int"&gt;43797&lt;/D&gt;&lt;D xsi:type="xsd:int"&gt;43798&lt;/D&gt;&lt;D xsi:type="xsd:int"&gt;43801&lt;/D&gt;&lt;D xsi:type="xsd:int"&gt;43802&lt;/D&gt;&lt;D xsi:type="xsd:int"&gt;43803&lt;/D&gt;&lt;D xsi:type="xsd:int"&gt;43804&lt;/D&gt;&lt;D xsi:type="xsd:int"&gt;43805&lt;/D&gt;&lt;D xsi:type="xsd:int"&gt;43808&lt;/D&gt;&lt;D xsi:type="xsd:int"&gt;43809&lt;/D&gt;&lt;D xsi:type="xsd:int"&gt;43810&lt;/D&gt;&lt;D xsi:type="xsd:int"&gt;43811&lt;/D&gt;&lt;D xsi:type="xsd:int"&gt;43812&lt;/D&gt;&lt;D xsi:type="xsd:int"&gt;43815&lt;/D&gt;&lt;D xsi:type="xsd:int"&gt;43816&lt;/D&gt;&lt;D xsi:type="xsd:int"&gt;43817&lt;/D&gt;&lt;D xsi:type="xsd:int"&gt;43818&lt;/D&gt;&lt;D xsi:type="xsd:int"&gt;43819&lt;/D&gt;&lt;D xsi:type="xsd:int"&gt;43822&lt;/D&gt;&lt;D xsi:type="xsd:int"&gt;43823&lt;/D&gt;&lt;D xsi:type="xsd:int"&gt;43825&lt;/D&gt;&lt;D xsi:type="xsd:int"&gt;43826&lt;/D&gt;&lt;D xsi:type="xsd:int"&gt;43829&lt;/D&gt;&lt;D xsi:type="xsd:int"&gt;43830&lt;/D&gt;&lt;D xsi:type="xsd:int"&gt;43832&lt;/D&gt;&lt;D xsi:type="xsd:int"&gt;43833&lt;/D&gt;&lt;D xsi:type="xsd:int"&gt;43836&lt;/D&gt;&lt;D xsi:type="xsd:int"&gt;43837&lt;/D&gt;&lt;D xsi:type="xsd:int"&gt;43838&lt;/D&gt;&lt;D xsi:type="xsd:int"&gt;43839&lt;/D&gt;&lt;D xsi:type="xsd:int"&gt;43840&lt;/D&gt;&lt;D xsi:type="xsd:int"&gt;43843&lt;/D&gt;&lt;D xsi:type="xsd:int"&gt;43844&lt;/D&gt;&lt;D xsi:type="xsd:int"&gt;43845&lt;/D&gt;&lt;D xsi:type="xsd:int"&gt;43846&lt;/D&gt;&lt;D xsi:type="xsd:int"&gt;43847&lt;/D&gt;&lt;D xsi:type="xsd:int"&gt;43850&lt;/D&gt;&lt;D xsi:type="xsd:int"&gt;43851&lt;/D&gt;&lt;D xsi:type="xsd:int"&gt;43852&lt;/D&gt;&lt;D xsi:type="xsd:int"&gt;43853&lt;/D&gt;&lt;/FQL&gt;&lt;FQL&gt;&lt;Q&gt;HFD-GB^MIN(XP_PRICE_VWAP(-6AM,43853))&lt;/Q&gt;&lt;R&gt;1&lt;/R&gt;&lt;C&gt;1&lt;/C&gt;&lt;D xsi:type="xsd:double"&gt;1.4523777&lt;/D&gt;&lt;/FQL&gt;&lt;FQL&gt;&lt;Q&gt;HFD-GB^FG_PRICE(01/23/2020)&lt;/Q&gt;&lt;R&gt;1&lt;/R&gt;&lt;C&gt;1&lt;/C&gt;&lt;D xsi:type="xsd:double"&gt;1.6389999&lt;/D&gt;&lt;/FQL&gt;&lt;FQL&gt;&lt;Q&gt;HFD-GB^FE_ESTIMATE(EBIT,MED,ANNUAL_ROLL,+2,43853,,,'CURRENCY=ESTCUR,,,')&lt;/Q&gt;&lt;R&gt;1&lt;/R&gt;&lt;C&gt;1&lt;/C&gt;&lt;D xsi:type="xsd:double"&gt;52.46267&lt;/D&gt;&lt;/FQL&gt;&lt;FQL&gt;&lt;Q&gt;HFD-GB^FE_ESTIMATE(CAPEX,MED,ANNUAL_ROLL,+2,43853,,,'CURRENCY=ESTCUR,,,')&lt;/Q&gt;&lt;R&gt;1&lt;/R&gt;&lt;C&gt;1&lt;/C&gt;&lt;D xsi:type="xsd:double"&gt;40&lt;/D&gt;&lt;/FQL&gt;&lt;FQL&gt;&lt;Q&gt;HFD-GB^MIN(XP_PRICE_VWAP(-12AM,43853))&lt;/Q&gt;&lt;R&gt;1&lt;/R&gt;&lt;C&gt;1&lt;/C&gt;&lt;D xsi:type="xsd:double"&gt;1.4523777&lt;/D&gt;&lt;/FQL&gt;&lt;FQL&gt;&lt;Q&gt;HFD-GB^FE_ESTIMATE(SALES,MED,ANNUAL_ROLL,+1,43853,,,'CURRENCY=ESTCUR,,,')&lt;/Q&gt;&lt;R&gt;1&lt;/R&gt;&lt;C&gt;1&lt;/C&gt;&lt;D xsi:type="xsd:double"&gt;1140&lt;/D&gt;&lt;/FQL&gt;&lt;FQL&gt;&lt;Q&gt;HFD-GB^FE_ESTIMATE(EBIT,MED,ANNUAL_ROLL,+3,43853,,,'CURRENCY=ESTCUR,,,')&lt;/Q&gt;&lt;R&gt;1&lt;/R&gt;&lt;C&gt;1&lt;/C&gt;&lt;D xsi:type="xsd:double"&gt;55&lt;/D&gt;&lt;/FQL&gt;&lt;FQL&gt;&lt;Q&gt;HFD-GB^FE_ESTIMATE(CAPEX,MED,ANNUAL_ROLL,+3,43853,,,'CURRENCY=ESTCUR,,,')&lt;/Q&gt;&lt;R&gt;1&lt;/R&gt;&lt;C&gt;1&lt;/C&gt;&lt;D xsi:type="xsd:double"&gt;40&lt;/D&gt;&lt;/FQL&gt;&lt;FQL&gt;&lt;Q&gt;HFD-GB^P_PRICE_HIGH(43488,43853,,,,"PRICE","CLOSE")&lt;/Q&gt;&lt;R&gt;1&lt;/R&gt;&lt;C&gt;1&lt;/C&gt;&lt;D xsi:type="xsd:double"&gt;2.586&lt;/D&gt;&lt;/FQL&gt;&lt;FQL&gt;&lt;Q&gt;HFD-GB^FE_ESTIMATE(SALES,MED,ANNUAL_ROLL,+2,43853,,,'CURRENCY=ESTCUR,,,')&lt;/Q&gt;&lt;R&gt;1&lt;/R&gt;&lt;C&gt;1&lt;/C&gt;&lt;D xsi:type="xsd:double"&gt;1154&lt;/D&gt;&lt;/FQL&gt;&lt;FQL&gt;&lt;Q&gt;HFD-GB^FE_ESTIMATE(NET_INC,MED,ANNUAL_ROLL,+1,43853,,,'CURRENCY=ESTCUR,,,')&lt;/Q&gt;&lt;R&gt;1&lt;/R&gt;&lt;C&gt;1&lt;/C&gt;&lt;D xsi:type="xsd:double"&gt;43.4&lt;/D&gt;&lt;/FQL&gt;&lt;FQL&gt;&lt;Q&gt;HFD-GB^P_PRICE(43853)&lt;/Q&gt;&lt;R&gt;1&lt;/R&gt;&lt;C&gt;1&lt;/C&gt;&lt;D xsi:type="xsd:double"&gt;1.6389999&lt;/D&gt;&lt;/FQL&gt;&lt;FQL&gt;&lt;Q&gt;HFD-GB^WAVG(XP_VOLUME(43761,43853,D),XP_PRICE_VWAP(43761,43853,D))&lt;/Q&gt;&lt;R&gt;1&lt;/R&gt;&lt;C&gt;1&lt;/C&gt;&lt;D xsi:type="xsd:double"&gt;1.61869650576464&lt;/D&gt;&lt;/FQL&gt;&lt;FQL&gt;&lt;Q&gt;HFD-GB^MAX(XP_PRICE_VWAP(-1AM,43853))&lt;/Q&gt;&lt;R&gt;1&lt;/R&gt;&lt;C&gt;1&lt;/C&gt;&lt;D xsi:type="xsd:double"&gt;1.7375548&lt;/D&gt;&lt;/FQL&gt;&lt;FQL&gt;&lt;Q&gt;HFD-GB^FE_ESTIMATE(SALES,MED,ANNUAL_ROLL,+3,43853,,,'CURRENCY=ESTCUR,,,')&lt;/Q&gt;&lt;R&gt;1&lt;/R&gt;&lt;C&gt;1&lt;/C&gt;&lt;D xsi:type="xsd:double"&gt;1167.85&lt;/D&gt;&lt;/FQL&gt;&lt;FQL&gt;&lt;Q&gt;HFD-GB^FE_ESTIMATE(NET_INC,MED,ANNUAL_ROLL,+2,43853,,,'CURRENCY=ESTCUR,,,')&lt;/Q&gt;&lt;R&gt;1&lt;/R&gt;&lt;C&gt;1&lt;/C&gt;&lt;D xsi:type="xsd:double"&gt;40.3&lt;/D&gt;&lt;/FQL&gt;&lt;FQL&gt;&lt;Q&gt;HFD-GB^P_PRICE_LOW(43488,43853,,,,"PRICE","CLOSE")&lt;/Q&gt;&lt;R&gt;1&lt;/R&gt;&lt;C&gt;1&lt;/C&gt;&lt;D xsi:type="xsd:double"&gt;1.42&lt;/D&gt;&lt;/FQL&gt;&lt;FQL&gt;&lt;Q&gt;HFD-GB^FE_ESTIMATE(EBITDA,MED,ANNUAL_ROLL,+2,43853,,,'CURRENCY=ESTCUR,,,')&lt;/Q&gt;&lt;R&gt;1&lt;/R&gt;&lt;C&gt;1&lt;/C&gt;&lt;D xsi:type="xsd:double"&gt;88.3&lt;/D&gt;&lt;/FQL&gt;&lt;FQL&gt;&lt;Q&gt;HFD-GB^FG_PRICE(43488,43853)&lt;/Q&gt;&lt;R&gt;260&lt;/R&gt;&lt;C&gt;1&lt;/C&gt;&lt;D xsi:type="xsd:double"&gt;2.432&lt;/D&gt;&lt;D xsi:type="xsd:double"&gt;2.38&lt;/D&gt;&lt;D xsi:type="xsd:double"&gt;2.396&lt;/D&gt;&lt;D xsi:type="xsd:double"&gt;2.358&lt;/D&gt;&lt;D xsi:type="xsd:double"&gt;2.366&lt;/D&gt;&lt;D xsi:type="xsd:double"&gt;2.332&lt;/D&gt;&lt;D xsi:type="xsd:double"&gt;2.316&lt;/D&gt;&lt;D xsi:type="xsd:double"&gt;2.326&lt;/D&gt;&lt;D xsi:type="xsd:double"&gt;2.32&lt;/D&gt;&lt;D xsi:type="xsd:double"&gt;2.29&lt;/D&gt;&lt;D xsi:type="xsd:double"&gt;2.29&lt;/D&gt;&lt;D xsi:type="xsd:double"&gt;2.288&lt;/D&gt;&lt;D xsi:type="xsd:double"&gt;2.286&lt;/D&gt;&lt;D xsi:type="xsd:double"&gt;2.326&lt;/D&gt;&lt;D xsi:type="xsd:double"&gt;2.376&lt;/D&gt;&lt;D xsi:type="xsd:double"&gt;2.416&lt;/D&gt;&lt;D xsi:type="xsd:double"&gt;2.416&lt;/D&gt;&lt;D xsi:type="xsd:double"&gt;2.442&lt;/D&gt;&lt;D xsi:type="xsd:double"&gt;2.448&lt;/D&gt;&lt;D xsi:type="xsd:double"&gt;2.416&lt;/D&gt;&lt;D xsi:type="xsd:double"&gt;2.396&lt;/D&gt;&lt;D xsi:type="xsd:double"&gt;2.348&lt;/D&gt;&lt;D xsi:type="xsd:double"&gt;2.342&lt;/D&gt;&lt;D xsi:type="xsd:double"&gt;2.356&lt;/D&gt;&lt;D xsi:type="xsd:double"&gt;2.404&lt;/D&gt;&lt;D xsi:type="xsd:double"&gt;2.38&lt;/D&gt;&lt;D xsi:type="xsd:double"&gt;2.366&lt;/D&gt;&lt;D xsi:type="xsd:double"&gt;2.47&lt;/D&gt;&lt;D xsi:type="xsd:double"&gt;2.46&lt;/D&gt;&lt;D xsi:type="xsd:double"&gt;2.476&lt;/D&gt;&lt;D xsi:type="xsd:double"&gt;2.478&lt;/D&gt;&lt;D xsi:type="xsd:double"&gt;2.43&lt;/D&gt;&lt;D xsi:type="xsd:double"&gt;2.38&lt;/D&gt;&lt;D xsi:type="xsd:double"&gt;2.356&lt;/D&gt;&lt;D xsi:type="xsd:double"&gt;2.402&lt;/D&gt;&lt;D xsi:type="xsd:double"&gt;2.45&lt;/D&gt;&lt;D xsi:type="xsd:double"&gt;2.486&lt;/D&gt;&lt;D xsi:type="xsd:double"&gt;2.468&lt;/D&gt;&lt;D xsi:type="xsd:double"&gt;2.464&lt;/D&gt;&lt;D xsi:type="xsd:double"&gt;2.586&lt;/D&gt;&lt;D xsi:type="xsd:double"&gt;2.456&lt;/D&gt;&lt;D xsi:type="xsd:double"&gt;2.45&lt;/D&gt;&lt;D xsi:type="xsd:double"&gt;2.418&lt;/D&gt;&lt;D xsi:type="xsd:double"&gt;2.338&lt;/D&gt;&lt;D xsi:type="xsd:double"&gt;2.326&lt;/D&gt;&lt;D xsi:type="xsd:double"&gt;2.324&lt;/D&gt;&lt;D xsi:type="xsd:double"&gt;2.32&lt;/D&gt;&lt;D xsi:type="xsd:double"&gt;2.32&lt;/D&gt;&lt;D xsi:type="xsd:double"&gt;2.354&lt;/D&gt;&lt;D xsi:type="xsd:double"&gt;2.416&lt;/D&gt;&lt;D xsi:type="xsd:double"&gt;2.388&lt;/D&gt;&lt;D xsi:type="xsd:double"&gt;2.366&lt;/D&gt;&lt;D xsi:type="xsd:double"&gt;2.388&lt;/D&gt;&lt;D xsi:type="xsd:double"&gt;2.356&lt;/D&gt;&lt;D xsi:type="xsd:double"&gt;2.344&lt;/D&gt;&lt;D xsi:type="xsd:double"&gt;2.322&lt;/D&gt;&lt;D xsi:type="xsd:double"&gt;2.3600001&lt;/D&gt;&lt;D xsi:type="xsd:double"&gt;2.3600001&lt;/D&gt;&lt;D xsi:type="xsd:double"&gt;2.3600001&lt;/D&gt;&lt;D xsi:type="xsd:double"&gt;2.3600001&lt;/D&gt;&lt;D xsi:type="xsd:double"&gt;2.4&lt;/D&gt;&lt;D xsi:type="xsd:double"&gt;2.422&lt;/D&gt;&lt;D xsi:type="xsd:double"&gt;2.422&lt;/D&gt;&lt;D xsi:type="xsd:double"&gt;2.422&lt;/D&gt;&lt;D xsi:type="xsd:double"&gt;2.414&lt;/D&gt;&lt;D xsi:type="xsd:double"&gt;2.4&lt;/D&gt;&lt;D xsi:type="xsd:double"&gt;2.394&lt;/D&gt;&lt;D xsi:type="xsd:double"&gt;2.376&lt;/D&gt;&lt;D xsi:type="xsd:double"&gt;2.348&lt;/D&gt;&lt;D xsi:type="xsd:double"&gt;2.336&lt;/D&gt;&lt;D xsi:type="xsd:double"&gt;2.414&lt;/D&gt;&lt;D xsi:type="xsd:double"&gt;2.378&lt;/D&gt;&lt;D xsi:type="xsd:double"&gt;2.394&lt;/D&gt;&lt;D xsi:type="xsd:double"&gt;2.394&lt;/D&gt;&lt;D xsi:type="xsd:double"&gt;2.424&lt;/D&gt;&lt;D xsi:type="xsd:double"&gt;2.406&lt;/D&gt;&lt;D xsi:type="xsd:double"&gt;2.4&lt;/D&gt;&lt;D xsi:type="xsd:double"&gt;2.394&lt;/D&gt;&lt;D xsi:type="xsd:double"&gt;2.3899999&lt;/D&gt;&lt;D xsi:type="xsd:double"&gt;2.386&lt;/D&gt;&lt;D xsi:type="xsd:double"&gt;2.404&lt;/D&gt;&lt;D xsi:type="xsd:double"&gt;2.414&lt;/D&gt;&lt;D xsi:type="xsd:double"&gt;2.402&lt;/D&gt;&lt;D xsi:type="xsd:double"&gt;2.3899999&lt;/D&gt;&lt;D xsi:type="xsd:double"&gt;2.3899999&lt;/D&gt;&lt;D xsi:type="xsd:double"&gt;2.3600001&lt;/D&gt;&lt;D xsi:type="xsd:double"&gt;2.356&lt;/D&gt;&lt;D xsi:type="xsd:double"&gt;2.32&lt;/D&gt;&lt;D xsi:type="xsd:double"&gt;2.32&lt;/D&gt;&lt;D xsi:type="xsd:double"&gt;2.28&lt;/D&gt;&lt;D xsi:type="xsd:double"&gt;2.246&lt;/D&gt;&lt;D xsi:type="xsd:double"&gt;2.26&lt;/D&gt;&lt;D xsi:type="xsd:double"&gt;2.252&lt;/D&gt;&lt;D xsi:type="xsd:double"&gt;2.23&lt;/D&gt;&lt;D xsi:type="xsd:double"&gt;2.2680001&lt;/D&gt;&lt;D xsi:type="xsd:double"&gt;2.264&lt;/D&gt;&lt;D xsi:type="xsd:double"&gt;2.2680001&lt;/D&gt;&lt;D xsi:type="xsd:double"&gt;2.272&lt;/D&gt;&lt;D xsi:type="xsd:double"&gt;2.324&lt;/D&gt;&lt;D xsi:type="xsd:double"&gt;2.356&lt;/D&gt;&lt;D xsi:type="xsd:double"&gt;2.324&lt;/D&gt;&lt;D xsi:type="xsd:double"&gt;2.344&lt;/D&gt;&lt;D xsi:type="xsd:double"&gt;2.318&lt;/D&gt;&lt;D xsi:type="xsd:double"&gt;2.306&lt;/D&gt;&lt;D xsi:type="xsd:double"&gt;2.302&lt;/D&gt;&lt;D xsi:type="xsd:double"&gt;2.27&lt;/D&gt;&lt;D xsi:type="xsd:double"&gt;2.242&lt;/D&gt;&lt;D xsi:type="xsd:double"&gt;2.25&lt;/D&gt;&lt;D xsi:type="xsd:double"&gt;2.2220001&lt;/D&gt;&lt;D xsi:type="xsd:double"&gt;2.212&lt;/D&gt;&lt;D xsi:type="xsd:double"&gt;2.212&lt;/D&gt;&lt;D xsi:type="xsd:double"&gt;2.18&lt;/D&gt;&lt;D xsi:type="xsd:double"&gt;2.246&lt;/D&gt;&lt;D xsi:type="xsd:double"&gt;2.25&lt;/D&gt;&lt;D xsi:type="xsd:double"&gt;2.23&lt;/D&gt;&lt;D xsi:type="xsd:double"&gt;2.2&lt;/D&gt;&lt;D xsi:type="xsd:double"&gt;2.206&lt;/D&gt;&lt;D xsi:type="xsd:double"&gt;2.206&lt;/D&gt;&lt;D xsi:type="xsd:double"&gt;2.2319999&lt;/D&gt;&lt;D xsi:type="xsd:double"&gt;2.186&lt;/D&gt;&lt;D xsi:type="xsd:double"&gt;2.17&lt;/D&gt;&lt;D xsi:type="xsd:double"&gt;2.174&lt;/D&gt;&lt;D xsi:type="xsd:double"&gt;2.17&lt;/D&gt;&lt;D xsi:type="xsd:double"&gt;2.166&lt;/D&gt;&lt;D xsi:type="xsd:double"&gt;2.166&lt;/D&gt;&lt;D xsi:type="xsd:double"&gt;2.164&lt;/D&gt;&lt;D xsi:type="xsd:double"&gt;2.158&lt;/D&gt;&lt;D xsi:type="xsd:double"&gt;2.144&lt;/D&gt;&lt;D xsi:type="xsd:double"&gt;2.14&lt;/D&gt;&lt;D xsi:type="xsd:double"&gt;2.128&lt;/D&gt;&lt;D xsi:type="xsd:double"&gt;2.134&lt;/D&gt;&lt;D xsi:type="xsd:double"&gt;2.052&lt;/D&gt;&lt;D xsi:type="xsd:double"&gt;2.05&lt;/D&gt;&lt;D xsi:type="xsd:double"&gt;2.046&lt;/D&gt;&lt;D xsi:type="xsd:double"&gt;1.964&lt;/D&gt;&lt;D xsi:type="xsd:double"&gt;1.9200001&lt;/D&gt;&lt;D xsi:type="xsd:double"&gt;1.846&lt;/D&gt;&lt;D xsi:type="xsd:double"&gt;1.814&lt;/D&gt;&lt;D xsi:type="xsd:double"&gt;1.7609999&lt;/D&gt;&lt;D xsi:type="xsd:double"&gt;1.7739999&lt;/D&gt;&lt;D xsi:type="xsd:double"&gt;1.76&lt;/D&gt;&lt;D xsi:type="xsd:double"&gt;1.786&lt;/D&gt;&lt;D xsi:type="xsd:double"&gt;1.77&lt;/D&gt;&lt;D xsi:type="xsd:double"&gt;1.77&lt;/D&gt;&lt;D xsi:type="xsd:double"&gt;1.745&lt;/D&gt;&lt;D xsi:type="xsd:double"&gt;1.733&lt;/D&gt;&lt;D xsi:type="xsd:double"&gt;1.673&lt;/D&gt;&lt;D xsi:type="xsd:double"&gt;1.677&lt;/D&gt;&lt;D xsi:type="xsd:double"&gt;1.71&lt;/D&gt;&lt;D xsi:type="xsd:double"&gt;1.7390001&lt;/D&gt;&lt;D xsi:type="xsd:double"&gt;1.7390001&lt;/D&gt;&lt;D xsi:type="xsd:double"&gt;1.76&lt;/D&gt;&lt;D xsi:type="xsd:double"&gt;1.757&lt;/D&gt;&lt;D xsi:type="xsd:double"&gt;1.757&lt;/D&gt;&lt;D xsi:type="xsd:double"&gt;1.7850001&lt;/D&gt;&lt;D xsi:type="xsd:double"&gt;1.7950001&lt;/D&gt;&lt;D xsi:type="xsd:double"&gt;1.7950001&lt;/D&gt;&lt;D xsi:type="xsd:double"&gt;1.809&lt;/D&gt;&lt;D xsi:type="xsd:double"&gt;1.8740001&lt;/D&gt;&lt;D xsi:type="xsd:double"&gt;1.723&lt;/D&gt;&lt;D xsi:type="xsd:double"&gt;1.6930001&lt;/D&gt;&lt;D xsi:type="xsd:double"&gt;1.656&lt;/D&gt;&lt;D xsi:type="xsd:double"&gt;1.744&lt;/D&gt;&lt;D xsi:type="xsd:double"&gt;1.7030001&lt;/D&gt;&lt;D xsi:type="xsd:double"&gt;1.7360001&lt;/D&gt;&lt;D xsi:type="xsd:double"&gt;1.706&lt;/D&gt;&lt;D xsi:type="xsd:double"&gt;1.7030001&lt;/D&gt;&lt;D xsi:type="xsd:double"&gt;1.73&lt;/D&gt;&lt;D xsi:type="xsd:double"&gt;1.75&lt;/D&gt;&lt;D xsi:type="xsd:double"&gt;1.72&lt;/D&gt;&lt;D xsi:type="xsd:double"&gt;1.699&lt;/D&gt;&lt;D xsi:type="xsd:double"&gt;1.669&lt;/D&gt;&lt;D xsi:type="xsd:double"&gt;1.71&lt;/D&gt;&lt;D xsi:type="xsd:double"&gt;1.732&lt;/D&gt;&lt;D xsi:type="xsd:double"&gt;1.75&lt;/D&gt;&lt;D xsi:type="xsd:double"&gt;1.747&lt;/D&gt;&lt;D xsi:type="xsd:double"&gt;1.7409999&lt;/D&gt;&lt;D xsi:type="xsd:double"&gt;1.744&lt;/D&gt;&lt;D xsi:type="xsd:double"&gt;1.702&lt;/D&gt;&lt;D xsi:type="xsd:double"&gt;1.702&lt;/D&gt;&lt;D xsi:type="xsd:double"&gt;1.7179999&lt;/D&gt;&lt;D xsi:type="xsd:double"&gt;1.69&lt;/D&gt;&lt;D xsi:type="xsd:double"&gt;1.6489999&lt;/D&gt;&lt;D xsi:type="xsd:double"&gt;1.63&lt;/D&gt;&lt;D xsi:type="xsd:double"&gt;1.622&lt;/D&gt;&lt;D xsi:type="xsd:double"&gt;1.612&lt;/D&gt;&lt;D xsi:type="xsd:double"&gt;1.584&lt;/D&gt;&lt;D xsi:type="xsd:double"&gt;1.6570001&lt;/D&gt;&lt;D xsi:type="xsd:double"&gt;1.627&lt;/D&gt;&lt;D xsi:type="xsd:double"&gt;1.658&lt;/D&gt;&lt;D xsi:type="xsd:double"&gt;1.658&lt;/D&gt;&lt;D xsi:type="xsd:double"&gt;1.654&lt;/D&gt;&lt;D xsi:type="xsd:double"&gt;1.71&lt;/D&gt;&lt;D xsi:type="xsd:double"&gt;1.737&lt;/D&gt;&lt;D xsi:type="xsd:double"&gt;1.75&lt;/D&gt;&lt;D xsi:type="xsd:double"&gt;1.77&lt;/D&gt;&lt;D xsi:type="xsd:double"&gt;1.735&lt;/D&gt;&lt;D xsi:type="xsd:double"&gt;1.6919999&lt;/D&gt;&lt;D xsi:type="xsd:double"&gt;1.691&lt;/D&gt;&lt;D xsi:type="xsd:double"&gt;1.671&lt;/D&gt;&lt;D xsi:type="xsd:double"&gt;1.6&lt;/D&gt;&lt;D xsi:type="xsd:double"&gt;1.584&lt;/D&gt;&lt;D xsi:type="xsd:double"&gt;1.536&lt;/D&gt;&lt;D xsi:type="xsd:double"&gt;1.519&lt;/D&gt;&lt;D xsi:type="xsd:double"&gt;1.54&lt;/D&gt;&lt;D xsi:type="xsd:double"&gt;1.525&lt;/D&gt;&lt;D xsi:type="xsd:double"&gt;1.56&lt;/D&gt;&lt;D xsi:type="xsd:double"&gt;1.65&lt;/D&gt;&lt;D xsi:type="xsd:double"&gt;1.6949999&lt;/D&gt;&lt;D xsi:type="xsd:double"&gt;1.6259999&lt;/D&gt;&lt;D xsi:type="xsd:double"&gt;1.627&lt;/D&gt;&lt;D xsi:type="xsd:double"&gt;1.622&lt;/D&gt;&lt;D xsi:type="xsd:double"&gt;1.646&lt;/D&gt;&lt;D xsi:type="xsd:double"&gt;1.65&lt;/D&gt;&lt;D xsi:type="xsd:double"&gt;1.627&lt;/D&gt;&lt;D xsi:type="xsd:double"&gt;1.583&lt;/D&gt;&lt;D xsi:type="xsd:double"&gt;1.584&lt;/D&gt;&lt;D xsi:type="xsd:double"&gt;1.6&lt;/D&gt;&lt;D xsi:type="xsd:double"&gt;1.623&lt;/D&gt;&lt;D xsi:type="xsd:double"&gt;1.575&lt;/D&gt;&lt;D xsi:type="xsd:double"&gt;1.61&lt;/D&gt;&lt;D xsi:type="xsd:double"&gt;1.6489999&lt;/D&gt;&lt;D xsi:type="xsd:double"&gt;1.606&lt;/D&gt;&lt;D xsi:type="xsd:double"&gt;1.6370001&lt;/D&gt;&lt;D xsi:type="xsd:double"&gt;1.599&lt;/D&gt;&lt;D xsi:type="xsd:double"&gt;1.64&lt;/D&gt;&lt;D xsi:type="xsd:double"&gt;1.6&lt;/D&gt;&lt;D xsi:type="xsd:double"&gt;1.635&lt;/D&gt;&lt;D xsi:type="xsd:double"&gt;1.605&lt;/D&gt;&lt;D xsi:type="xsd:double"&gt;1.61&lt;/D&gt;&lt;D xsi:type="xsd:double"&gt;1.64&lt;/D&gt;&lt;D xsi:type="xsd:double"&gt;1.664&lt;/D&gt;&lt;D xsi:type="xsd:double"&gt;1.74&lt;/D&gt;&lt;D xsi:type="xsd:double"&gt;1.7720001&lt;/D&gt;&lt;D xsi:type="xsd:double"&gt;1.7590001&lt;/D&gt;&lt;D xsi:type="xsd:double"&gt;1.713&lt;/D&gt;&lt;D xsi:type="xsd:double"&gt;1.745&lt;/D&gt;&lt;D xsi:type="xsd:double"&gt;1.788&lt;/D&gt;&lt;D xsi:type="xsd:double"&gt;1.745&lt;/D&gt;&lt;D xsi:type="xsd:double"&gt;1.727&lt;/D&gt;&lt;D xsi:type="xsd:double"&gt;1.727&lt;/D&gt;&lt;D xsi:type="xsd:double"&gt;1.744&lt;/D&gt;&lt;D xsi:type="xsd:double"&gt;1.714&lt;/D&gt;&lt;D xsi:type="xsd:double"&gt;1.6930001&lt;/D&gt;&lt;D xsi:type="xsd:double"&gt;1.7030001&lt;/D&gt;&lt;D xsi:type="xsd:double"&gt;1.678&lt;/D&gt;&lt;D xsi:type="xsd:double"&gt;1.623&lt;/D&gt;&lt;D xsi:type="xsd:double"&gt;1.599&lt;/D&gt;&lt;D xsi:type="xsd:double"&gt;1.5799999&lt;/D&gt;&lt;D xsi:type="xsd:double"&gt;1.541&lt;/D&gt;&lt;D xsi:type="xsd:double"&gt;1.42&lt;/D&gt;&lt;D xsi:type="xsd:double"&gt;1.46&lt;/D&gt;&lt;D xsi:type="xsd:double"&gt;1.46&lt;/D&gt;&lt;D xsi:type="xsd:double"&gt;1.455&lt;/D&gt;&lt;D xsi:type="xsd:double"&gt;1.5350001&lt;/D&gt;&lt;D xsi:type="xsd:double"&gt;1.52&lt;/D&gt;&lt;D xsi:type="xsd:double"&gt;1.606&lt;/D&gt;&lt;D xsi:type="xsd:double"&gt;1.584&lt;/D&gt;&lt;D xsi:type="xsd:double"&gt;1.621&lt;/D&gt;&lt;D xsi:type="xsd:double"&gt;1.6389999&lt;/D&gt;&lt;/FQL&gt;&lt;FQL&gt;&lt;Q&gt;HFD-GB^MIN(XP_PRICE_VWAP(-1AM,43853))&lt;/Q&gt;&lt;R&gt;1&lt;/R&gt;&lt;C&gt;1&lt;/C&gt;&lt;D xsi:type="xsd:double"&gt;1.4523777&lt;/D&gt;&lt;/FQL&gt;&lt;FQL&gt;&lt;Q&gt;HFD-GB^FE_ESTIMATE(NET_INC,MED,ANNUAL_ROLL,+3,43853,,,'CURRENCY=ESTCUR,,,')&lt;/Q&gt;&lt;R&gt;1&lt;/R&gt;&lt;C&gt;1&lt;/C&gt;&lt;D xsi:type="xsd:double"&gt;41.5&lt;/D&gt;&lt;/FQL&gt;&lt;FQL&gt;&lt;Q&gt;HFD-GB^FE_ESTIMATE(PTX_INC,MED,ANNUAL_ROLL,+1,43853,,,'CURRENCY=ESTCUR,,,')&lt;/Q&gt;&lt;R&gt;1&lt;/R&gt;&lt;C&gt;1&lt;/C&gt;&lt;D xsi:type="xsd:double"&gt;52.5&lt;/D&gt;&lt;/FQL&gt;&lt;FQL&gt;&lt;Q&gt;HFD-GB^MAX(XP_PRICE_VWAP(-12AM,43853))&lt;/Q&gt;&lt;R&gt;1&lt;/R&gt;&lt;C&gt;1&lt;/C&gt;&lt;D xsi:type="xsd:double"&gt;2.549892&lt;/D&gt;&lt;/FQL&gt;&lt;FQL&gt;&lt;Q&gt;HFD-GB^FE_ESTIMATE(PTX_INC,MED,ANNUAL_ROLL,+2,43853,,,'CURRENCY=ESTCUR,,,')&lt;/Q&gt;&lt;R&gt;1&lt;/R&gt;&lt;C&gt;1&lt;/C&gt;&lt;D xsi:type="xsd:double"&gt;48.42266&lt;/D&gt;&lt;/FQL&gt;&lt;FQL&gt;&lt;Q&gt;HFD-GB^WAVG(XP_VOLUME(43488,43853,D),XP_PRICE_VWAP(43488,43853,D))&lt;/Q&gt;&lt;R&gt;1&lt;/R&gt;&lt;C&gt;1&lt;/C&gt;&lt;D xsi:type="xsd:double"&gt;1.95616832396139&lt;/D&gt;&lt;/FQL&gt;&lt;FQL&gt;&lt;Q&gt;HFD-GB^FE_ESTIMATE(PTX_INC,MED,ANNUAL_ROLL,+3,43853,,,'CURRENCY=ESTCUR,,,')&lt;/Q&gt;&lt;R&gt;1&lt;/R&gt;&lt;C&gt;1&lt;/C&gt;&lt;D xsi:type="xsd:double"&gt;50.45556&lt;/D&gt;&lt;/FQL&gt;&lt;FQL&gt;&lt;Q&gt;HFD-GB^FE_ESTIMATE(EBITDA,MED,ANNUAL_ROLL,+3,43853,,,'CURRENCY=ESTCUR,,,')&lt;/Q&gt;&lt;R&gt;1&lt;/R&gt;&lt;C&gt;1&lt;/C&gt;&lt;D xsi:type="xsd:double"&gt;91.2&lt;/D&gt;&lt;/FQL&gt;&lt;FQL&gt;&lt;Q&gt;HFD-GB^FE_ESTIMATE(EBIT,MED,ANNUAL_ROLL,+1,43853,,,'CURRENCY=ESTCUR,,,')&lt;/Q&gt;&lt;R&gt;1&lt;/R&gt;&lt;C&gt;1&lt;/C&gt;&lt;D xsi:type="xsd:double"&gt;55.716156&lt;/D&gt;&lt;/FQL&gt;&lt;FQL&gt;&lt;Q&gt;HFD-GB^FE_ESTIMATE(EBITDA,MED,ANNUAL_ROLL,+1,43853,,,'CURRENCY=ESTCUR,,,')&lt;/Q&gt;&lt;R&gt;1&lt;/R&gt;&lt;C&gt;1&lt;/C&gt;&lt;D xsi:type="xsd:double"&gt;90&lt;/D&gt;&lt;/FQL&gt;&lt;FQL&gt;&lt;Q&gt;HFD-GB^WAVG(XP_VOLUME(43669,43853,D),XP_PRICE_VWAP(43669,43853,D))&lt;/Q&gt;&lt;R&gt;1&lt;/R&gt;&lt;C&gt;1&lt;/C&gt;&lt;D xsi:type="xsd:double"&gt;1.67287370726528&lt;/D&gt;&lt;/FQL&gt;&lt;FQL&gt;&lt;Q&gt;HFD-GB^MIN(XP_PRICE_VWAP(-3AM,43853))&lt;/Q&gt;&lt;R&gt;1&lt;/R&gt;&lt;C&gt;1&lt;/C&gt;&lt;D xsi:type="xsd:double"&gt;1.4523777&lt;/D&gt;&lt;/FQL&gt;&lt;/Schema&gt;</t>
      </text>
    </comment>
  </commentList>
</comments>
</file>

<file path=xl/comments/comment2.xml><?xml version="1.0" encoding="utf-8"?>
<comments xmlns="http://schemas.openxmlformats.org/spreadsheetml/2006/main">
  <authors>
    <author>Soni, Sushant</author>
  </authors>
  <commentList>
    <comment ref="D19" authorId="0" shapeId="0">
      <text>
        <t>Soni, Sushant:
Pg 5/35 FS 1H20</t>
      </text>
    </comment>
  </commentList>
</comments>
</file>

<file path=xl/comments/comment3.xml><?xml version="1.0" encoding="utf-8"?>
<comments xmlns="http://schemas.openxmlformats.org/spreadsheetml/2006/main">
  <authors>
    <author>Chauhan, Soumya</author>
    <author>Sukant Gupta</author>
    <author>Soni, Sushant</author>
    <author>Yates, James</author>
    <author>Pranav</author>
  </authors>
  <commentList>
    <comment ref="F9" authorId="0" shapeId="0">
      <text>
        <t>Chauhan, Soumya:
Using company report</t>
      </text>
    </comment>
    <comment ref="G9" authorId="0" shapeId="0">
      <text>
        <t>Chauhan, Soumya:
Using company report</t>
      </text>
    </comment>
    <comment ref="H9" authorId="0" shapeId="0">
      <text>
        <t>Chauhan, Soumya:
Using company report</t>
      </text>
    </comment>
    <comment ref="I9" authorId="0" shapeId="0">
      <text>
        <t>Chauhan, Soumya:
Using company report</t>
      </text>
    </comment>
    <comment ref="J9" authorId="0" shapeId="0">
      <text>
        <t>Chauhan, Soumya:
Using company report</t>
      </text>
    </comment>
    <comment ref="K9" authorId="0" shapeId="0">
      <text>
        <t>Chauhan, Soumya:
Using company report</t>
      </text>
    </comment>
    <comment ref="Q13" authorId="0" shapeId="0">
      <text>
        <t>Chauhan, Soumya:
Assumed growth</t>
      </text>
    </comment>
    <comment ref="V13" authorId="0" shapeId="0">
      <text>
        <t>Chauhan, Soumya:
Assumed growth</t>
      </text>
    </comment>
    <comment ref="V18" authorId="0" shapeId="0">
      <text>
        <t>Chauhan, Soumya:
Assumed growth</t>
      </text>
    </comment>
    <comment ref="V22" authorId="0" shapeId="0">
      <text>
        <t>Chauhan, Soumya:
Assumed % based on last 15 years average</t>
      </text>
    </comment>
    <comment ref="K29" authorId="0" shapeId="0">
      <text>
        <t>Chauhan, Soumya:
Corporate tax rate</t>
      </text>
    </comment>
    <comment ref="L29" authorId="0" shapeId="0">
      <text>
        <t>Chauhan, Soumya:
Corporate tax rate</t>
      </text>
    </comment>
    <comment ref="M29" authorId="0" shapeId="0">
      <text>
        <t>Chauhan, Soumya:
Corporate tax rate</t>
      </text>
    </comment>
    <comment ref="F31" authorId="1" shapeId="0">
      <text>
        <t>Sukant Gupta:
Pg 42/118 ARF15</t>
      </text>
    </comment>
    <comment ref="G31" authorId="1" shapeId="0">
      <text>
        <t>Sukant Gupta:
Pg 38 (42/126) ARF16</t>
      </text>
    </comment>
    <comment ref="H31" authorId="1" shapeId="0">
      <text>
        <t>Sukant Gupta:
Pg 128/152 ARF17</t>
      </text>
    </comment>
    <comment ref="I31" authorId="1" shapeId="0">
      <text>
        <t>Sukant Gupta:
Pg 100 (102/156) ARF18</t>
      </text>
    </comment>
    <comment ref="J31" authorId="1" shapeId="0">
      <text>
        <t>Sukant Gupta:
Pg 100 (102/156) ARF18</t>
      </text>
    </comment>
    <comment ref="K31" authorId="2" shapeId="0">
      <text>
        <t>Soni, Sushant:
Pg 15/29 FS FY19</t>
      </text>
    </comment>
    <comment ref="C45" authorId="3" shapeId="0">
      <text>
        <t>Change in inventories, receivables and payables</t>
      </text>
    </comment>
    <comment ref="Q47" authorId="4" shapeId="0">
      <text>
        <t>Chauhan, Soumya:
Earlier 0%</t>
      </text>
    </comment>
    <comment ref="Q53" authorId="4" shapeId="0">
      <text>
        <t>Chauhan, Soumya:
Assumed no further exceptional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mailto:gina.gibson@jpmorgancazenove.com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B1" sqref="B1"/>
    </sheetView>
  </sheetViews>
  <sheetFormatPr baseColWidth="10" defaultColWidth="8.83203125" defaultRowHeight="13"/>
  <sheetData>
    <row r="1">
      <c r="A1" t="n"/>
      <c r="B1" t="inlineStr">
        <is>
          <t>This sheet contains FactSet XML data for use with this workbook's =FDS codes.  Modifying the worksheet's contents may damage the workbook's =FDS functionality.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0" tint="-0.499984740745262"/>
    <outlinePr summaryBelow="1" summaryRight="1"/>
    <pageSetUpPr/>
  </sheetPr>
  <dimension ref="B2:W44"/>
  <sheetViews>
    <sheetView showGridLines="0" tabSelected="1" topLeftCell="A9" zoomScale="85" zoomScaleNormal="85" zoomScaleSheetLayoutView="85" workbookViewId="0">
      <selection activeCell="D18" sqref="D18"/>
    </sheetView>
  </sheetViews>
  <sheetFormatPr baseColWidth="10" defaultColWidth="9.1640625" defaultRowHeight="13"/>
  <cols>
    <col width="3" customWidth="1" style="1" min="1" max="1"/>
    <col width="2.83203125" customWidth="1" style="1" min="2" max="4"/>
    <col width="28.5" customWidth="1" style="1" min="5" max="5"/>
    <col width="7.1640625" customWidth="1" style="1" min="6" max="8"/>
    <col width="9.1640625" customWidth="1" style="1" min="9" max="14"/>
    <col width="12.83203125" customWidth="1" style="1" min="15" max="15"/>
    <col width="9.1640625" customWidth="1" style="1" min="16" max="16"/>
    <col width="10" customWidth="1" style="1" min="17" max="17"/>
    <col width="9.1640625" customWidth="1" style="1" min="18" max="18"/>
    <col width="15.5" bestFit="1" customWidth="1" style="1" min="19" max="19"/>
    <col width="8.5" customWidth="1" style="1" min="20" max="20"/>
    <col width="3.6640625" customWidth="1" style="1" min="21" max="21"/>
    <col width="9.1640625" customWidth="1" style="1" min="22" max="16384"/>
  </cols>
  <sheetData>
    <row r="2"/>
    <row r="9" ht="19" customHeight="1">
      <c r="D9" s="4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</row>
    <row r="12">
      <c r="W12" s="31" t="n"/>
    </row>
    <row r="13"/>
    <row r="14" ht="12.75" customHeight="1">
      <c r="C14" s="15" t="n"/>
      <c r="D14" s="356" t="inlineStr">
        <is>
          <t>Tap &amp; Turf Holdings Pty Ltd — MODEL</t>
        </is>
      </c>
    </row>
    <row r="15" ht="12.75" customHeight="1">
      <c r="C15" s="15" t="n"/>
      <c r="D15" s="366" t="n"/>
    </row>
    <row r="16" ht="12.75" customHeight="1">
      <c r="C16" s="15" t="n"/>
      <c r="D16" s="366" t="n"/>
    </row>
    <row r="17" ht="12.75" customHeight="1">
      <c r="D17" s="366" t="n"/>
    </row>
    <row r="18"/>
    <row r="19" ht="18" customHeight="1">
      <c r="C19" s="359" t="inlineStr">
        <is>
          <t xml:space="preserve">S T R I C T L Y    P R I V A T E    A N D    C O N F I D E N T I A L </t>
        </is>
      </c>
      <c r="E19" s="321">
        <f>Assumptions!D12</f>
        <v/>
      </c>
    </row>
    <row r="20">
      <c r="C20" s="367" t="n"/>
    </row>
    <row r="21">
      <c r="C21" s="367" t="n"/>
    </row>
    <row r="22">
      <c r="C22" s="367" t="n"/>
    </row>
    <row r="23">
      <c r="C23" s="367" t="n"/>
    </row>
    <row r="24">
      <c r="C24" s="367" t="n"/>
    </row>
    <row r="25">
      <c r="C25" s="367" t="n"/>
    </row>
    <row r="26" ht="12.75" customHeight="1">
      <c r="C26" s="367" t="n"/>
    </row>
    <row r="27">
      <c r="C27" s="367" t="n"/>
    </row>
    <row r="28">
      <c r="C28" s="367" t="n"/>
      <c r="Q28" t="inlineStr">
        <is>
          <t>mailto:gina.gibson@jpmorgancazenove.com</t>
        </is>
      </c>
    </row>
    <row r="29" ht="4.5" customHeight="1">
      <c r="C29" s="367" t="n"/>
    </row>
    <row r="30">
      <c r="C30" s="367" t="n"/>
      <c r="Q30" s="156" t="n"/>
      <c r="R30" s="157" t="n"/>
      <c r="S30" s="157" t="n"/>
    </row>
    <row r="31">
      <c r="C31" s="367" t="n"/>
      <c r="Q31" s="157" t="n"/>
      <c r="R31" s="157" t="n"/>
      <c r="S31" s="157" t="n"/>
      <c r="V31" s="44" t="n"/>
    </row>
    <row r="32">
      <c r="C32" s="367" t="n"/>
      <c r="Q32" s="157" t="n"/>
      <c r="R32" s="157" t="n"/>
      <c r="S32" s="157" t="n"/>
    </row>
    <row r="33">
      <c r="C33" s="367" t="n"/>
      <c r="Q33" s="158" t="n"/>
      <c r="R33" s="157" t="n"/>
      <c r="S33" s="157" t="n"/>
    </row>
    <row r="34">
      <c r="C34" s="367" t="n"/>
      <c r="Q34" s="158" t="n"/>
      <c r="R34" s="157" t="n"/>
      <c r="S34" s="157" t="n"/>
    </row>
    <row r="35" ht="4.5" customHeight="1">
      <c r="C35" s="367" t="n"/>
      <c r="Q35" s="158" t="n"/>
      <c r="R35" s="157" t="n"/>
      <c r="S35" s="157" t="n"/>
    </row>
    <row r="36">
      <c r="C36" s="367" t="n"/>
      <c r="Q36" s="158" t="n"/>
      <c r="R36" s="157" t="n"/>
      <c r="S36" s="157" t="n"/>
    </row>
    <row r="37">
      <c r="C37" s="367" t="n"/>
      <c r="Q37" s="158" t="n"/>
      <c r="R37" s="157" t="n"/>
      <c r="S37" s="157" t="n"/>
    </row>
    <row r="38">
      <c r="C38" s="367" t="n"/>
      <c r="Q38" s="158" t="n"/>
      <c r="R38" s="157" t="n"/>
      <c r="S38" s="157" t="n"/>
    </row>
    <row r="39">
      <c r="C39" s="367" t="n"/>
      <c r="Q39" s="158" t="n"/>
      <c r="R39" s="157" t="n"/>
      <c r="S39" s="157" t="n"/>
    </row>
    <row r="40">
      <c r="C40" s="367" t="n"/>
    </row>
    <row r="41">
      <c r="C41" s="367" t="n"/>
    </row>
    <row r="42">
      <c r="C42" s="367" t="n"/>
    </row>
    <row r="43">
      <c r="C43" s="367" t="n"/>
    </row>
    <row r="44"/>
  </sheetData>
  <mergeCells count="2">
    <mergeCell ref="D14:T17"/>
    <mergeCell ref="C19:C43"/>
  </mergeCells>
  <hyperlinks>
    <hyperlink xmlns:r="http://schemas.openxmlformats.org/officeDocument/2006/relationships" ref="Q28" display="gina.gibson@jpmorgancazenove.com" r:id="rId1"/>
  </hyperlinks>
  <pageMargins left="0.7480314960629921" right="0.7480314960629921" top="0.984251968503937" bottom="0.984251968503937" header="0.5118110236220472" footer="0.5118110236220472"/>
  <pageSetup orientation="landscape" paperSize="9" scale="7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ColWidth="8.83203125" defaultRowHeight="1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3" tint="0.7999816888943144"/>
    <outlinePr summaryBelow="1" summaryRight="1"/>
    <pageSetUpPr/>
  </sheetPr>
  <dimension ref="C3:K35"/>
  <sheetViews>
    <sheetView showGridLines="0" zoomScale="85" zoomScaleNormal="85" zoomScaleSheetLayoutView="100" workbookViewId="0">
      <selection activeCell="D13" sqref="D13"/>
    </sheetView>
  </sheetViews>
  <sheetFormatPr baseColWidth="10" defaultColWidth="8.83203125" defaultRowHeight="13"/>
  <cols>
    <col width="3" customWidth="1" min="1" max="1"/>
    <col width="2.83203125" customWidth="1" min="2" max="2"/>
    <col width="32.5" bestFit="1" customWidth="1" min="3" max="3"/>
    <col width="9.6640625" customWidth="1" min="4" max="4"/>
    <col width="9.33203125" customWidth="1" min="5" max="5"/>
    <col width="18.5" bestFit="1" customWidth="1" min="6" max="6"/>
    <col width="9.1640625" customWidth="1" min="8" max="9"/>
    <col width="2.83203125" customWidth="1" min="12" max="12"/>
  </cols>
  <sheetData>
    <row r="3" ht="20" customHeight="1">
      <c r="C3" s="368" t="inlineStr">
        <is>
          <t>Assumptions</t>
        </is>
      </c>
      <c r="D3" s="369" t="n"/>
      <c r="E3" s="369" t="n"/>
      <c r="F3" s="369" t="n"/>
      <c r="G3" s="369" t="n"/>
      <c r="H3" s="369" t="n"/>
      <c r="I3" s="369" t="n"/>
      <c r="J3" s="369" t="n"/>
      <c r="K3" s="369" t="n"/>
    </row>
    <row r="4" ht="4.5" customHeight="1"/>
    <row r="5">
      <c r="C5" s="46" t="inlineStr">
        <is>
          <t>Circular switch</t>
        </is>
      </c>
      <c r="D5" s="46" t="n"/>
      <c r="E5" s="46" t="n"/>
      <c r="F5" s="46" t="n"/>
      <c r="G5" s="46" t="n"/>
      <c r="H5" s="46" t="n"/>
      <c r="I5" s="46" t="n"/>
      <c r="J5" s="46" t="n"/>
      <c r="K5" s="46" t="n"/>
    </row>
    <row r="6" ht="12.75" customHeight="1"/>
    <row r="7">
      <c r="C7" t="inlineStr">
        <is>
          <t>On / off</t>
        </is>
      </c>
      <c r="D7" s="319" t="n">
        <v>1</v>
      </c>
    </row>
    <row r="9">
      <c r="C9" s="46" t="inlineStr">
        <is>
          <t>Key assumptions</t>
        </is>
      </c>
      <c r="D9" s="46" t="n"/>
      <c r="E9" s="46" t="n"/>
      <c r="F9" s="46" t="n"/>
      <c r="G9" s="46" t="n"/>
      <c r="H9" s="46" t="n"/>
      <c r="I9" s="46" t="n"/>
      <c r="J9" s="46" t="n"/>
      <c r="K9" s="46" t="n"/>
    </row>
    <row r="11">
      <c r="C11" t="inlineStr">
        <is>
          <t>Last Historical FYE</t>
        </is>
      </c>
      <c r="D11" s="120" t="n">
        <v>45746</v>
      </c>
    </row>
    <row r="12">
      <c r="C12" t="inlineStr">
        <is>
          <t>Transaction date</t>
        </is>
      </c>
      <c r="D12" s="120" t="n">
        <v>46112</v>
      </c>
    </row>
    <row r="14">
      <c r="C14" s="370" t="inlineStr">
        <is>
          <t>Enterprise value calculation</t>
        </is>
      </c>
      <c r="D14" s="370" t="n"/>
      <c r="E14" s="370" t="n"/>
      <c r="F14" s="46" t="n"/>
      <c r="G14" s="46" t="n"/>
      <c r="H14" s="46" t="n"/>
      <c r="I14" s="46" t="n"/>
      <c r="J14" s="46" t="n"/>
      <c r="K14" s="46" t="n"/>
    </row>
    <row r="15">
      <c r="C15" s="371" t="n"/>
      <c r="D15" s="371" t="n"/>
      <c r="E15" s="372" t="n"/>
    </row>
    <row r="16">
      <c r="C16" s="371" t="inlineStr">
        <is>
          <t>Current share price (c)</t>
        </is>
      </c>
      <c r="D16" s="373" t="n">
        <v>165</v>
      </c>
      <c r="E16" s="374" t="inlineStr">
        <is>
          <t>p_price</t>
        </is>
      </c>
    </row>
    <row r="17">
      <c r="C17" s="375" t="inlineStr">
        <is>
          <t>NOSH (m)</t>
        </is>
      </c>
      <c r="D17" s="373" t="n">
        <v>199</v>
      </c>
    </row>
    <row r="18">
      <c r="C18" s="371" t="inlineStr">
        <is>
          <t>Market cap ($m)</t>
        </is>
      </c>
      <c r="D18" s="376">
        <f>(D16*D17)/100</f>
        <v/>
      </c>
      <c r="E18" s="372" t="n"/>
    </row>
    <row r="19">
      <c r="C19" s="371" t="inlineStr">
        <is>
          <t>Net debt / (cash) ($m)</t>
        </is>
      </c>
      <c r="D19" s="377" t="n">
        <v>0</v>
      </c>
      <c r="E19" s="372" t="n"/>
      <c r="G19" s="45" t="n"/>
    </row>
    <row r="20">
      <c r="C20" s="371" t="inlineStr">
        <is>
          <t>Minority interests ($m)</t>
        </is>
      </c>
      <c r="D20" s="378" t="n">
        <v>0</v>
      </c>
      <c r="E20" s="372" t="n"/>
    </row>
    <row r="21">
      <c r="C21" s="371" t="inlineStr">
        <is>
          <t>Pension liability ($m)</t>
        </is>
      </c>
      <c r="D21" s="378" t="n">
        <v>0</v>
      </c>
      <c r="E21" s="372" t="n"/>
    </row>
    <row r="22">
      <c r="C22" s="371" t="inlineStr">
        <is>
          <t>Investment in associates ($m)</t>
        </is>
      </c>
      <c r="D22" s="378" t="n">
        <v>0</v>
      </c>
      <c r="E22" s="379" t="n"/>
    </row>
    <row r="23">
      <c r="C23" s="371" t="n"/>
      <c r="D23" s="380" t="n"/>
      <c r="E23" s="371" t="n"/>
    </row>
    <row r="24">
      <c r="C24" s="381" t="inlineStr">
        <is>
          <t>EV ($m)</t>
        </is>
      </c>
      <c r="D24" s="382">
        <f>D18+D19+D20+D21+D22</f>
        <v/>
      </c>
      <c r="E24" s="371" t="n"/>
      <c r="F24" s="383" t="n"/>
      <c r="G24" s="383" t="n"/>
    </row>
    <row r="26">
      <c r="C26" t="inlineStr">
        <is>
          <t>Forecast drivers</t>
        </is>
      </c>
    </row>
    <row r="27">
      <c r="C27" t="inlineStr">
        <is>
          <t>Revenue growth (annual)</t>
        </is>
      </c>
      <c r="D27" t="n">
        <v>0.06</v>
      </c>
      <c r="E27" t="inlineStr">
        <is>
          <t>p_rev_growth</t>
        </is>
      </c>
    </row>
    <row r="28">
      <c r="C28" t="inlineStr">
        <is>
          <t>EBITDA margin (flat)</t>
        </is>
      </c>
      <c r="D28" t="n">
        <v>0.0872</v>
      </c>
      <c r="E28" t="inlineStr">
        <is>
          <t>p_ebitda_margin</t>
        </is>
      </c>
    </row>
    <row r="29">
      <c r="C29" t="inlineStr">
        <is>
          <t>D&amp;A / revenue</t>
        </is>
      </c>
      <c r="D29" t="n">
        <v>0.038</v>
      </c>
      <c r="E29" t="inlineStr">
        <is>
          <t>p_da_pct</t>
        </is>
      </c>
    </row>
    <row r="30">
      <c r="C30" t="inlineStr">
        <is>
          <t>Capex / revenue</t>
        </is>
      </c>
      <c r="D30" t="n">
        <v>0.03</v>
      </c>
      <c r="E30" t="inlineStr">
        <is>
          <t>p_capex_pct</t>
        </is>
      </c>
    </row>
    <row r="31">
      <c r="C31" t="inlineStr">
        <is>
          <t>ΔWC / revenue (outflow)</t>
        </is>
      </c>
      <c r="D31" t="n">
        <v>0.015</v>
      </c>
      <c r="E31" t="inlineStr">
        <is>
          <t>p_wc_pct</t>
        </is>
      </c>
    </row>
    <row r="32">
      <c r="C32" t="inlineStr">
        <is>
          <t>Tax rate</t>
        </is>
      </c>
      <c r="D32" t="n">
        <v>0.19</v>
      </c>
      <c r="E32" t="inlineStr">
        <is>
          <t>p_tax_rate</t>
        </is>
      </c>
    </row>
    <row r="33">
      <c r="C33" t="inlineStr">
        <is>
          <t>WACC</t>
        </is>
      </c>
      <c r="D33" t="n">
        <v>0.1004798786054746</v>
      </c>
      <c r="E33" t="inlineStr">
        <is>
          <t>p_wacc</t>
        </is>
      </c>
    </row>
    <row r="34">
      <c r="C34" t="inlineStr">
        <is>
          <t>Perpetuity growth rate</t>
        </is>
      </c>
      <c r="D34" t="n">
        <v>0.025</v>
      </c>
      <c r="E34" t="inlineStr">
        <is>
          <t>p_perp_g</t>
        </is>
      </c>
    </row>
    <row r="35">
      <c r="C35" t="inlineStr">
        <is>
          <t>Exit EBITDA multiple (implied — memo/check)</t>
        </is>
      </c>
      <c r="D35" t="n">
        <v>5.12</v>
      </c>
      <c r="E35" t="inlineStr">
        <is>
          <t>p_exit_multiple (no comps; implied from perpetuity)</t>
        </is>
      </c>
    </row>
  </sheetData>
  <pageMargins left="0.7086614173228347" right="0.7086614173228347" top="0.7480314960629921" bottom="0.7480314960629921" header="0.3149606299212598" footer="0.3149606299212598"/>
  <pageSetup orientation="landscape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"/>
  <sheetViews>
    <sheetView topLeftCell="A11" zoomScale="85" zoomScaleNormal="85" workbookViewId="0">
      <selection activeCell="F5" sqref="F5"/>
    </sheetView>
  </sheetViews>
  <sheetFormatPr baseColWidth="10" defaultColWidth="9.1640625" defaultRowHeight="13"/>
  <cols>
    <col width="30.6640625" customWidth="1" min="1" max="1"/>
    <col width="9.83203125" customWidth="1" min="2" max="2"/>
    <col width="9.5" bestFit="1" customWidth="1" min="3" max="6"/>
  </cols>
  <sheetData>
    <row r="1" ht="21" customHeight="1">
      <c r="A1" s="293" t="inlineStr">
        <is>
          <t>Tap &amp; Turf Holdings Pty Ltd - Actuals</t>
        </is>
      </c>
    </row>
    <row r="2" ht="21" customHeight="1">
      <c r="A2" s="293" t="n"/>
    </row>
    <row r="3">
      <c r="B3" s="360" t="inlineStr">
        <is>
          <t xml:space="preserve">5 Year Plan </t>
        </is>
      </c>
      <c r="C3" s="41" t="n"/>
      <c r="D3" s="41" t="n"/>
      <c r="E3" s="41" t="n"/>
      <c r="F3" s="41" t="n"/>
      <c r="G3" t="inlineStr">
        <is>
          <t>Forecast (assumption-driven, FY26+) →</t>
        </is>
      </c>
    </row>
    <row r="4" ht="15" customHeight="1">
      <c r="B4" s="294" t="inlineStr">
        <is>
          <t>FY21</t>
        </is>
      </c>
      <c r="C4" s="294" t="inlineStr">
        <is>
          <t>FY22</t>
        </is>
      </c>
      <c r="D4" s="294" t="inlineStr">
        <is>
          <t>FY23</t>
        </is>
      </c>
      <c r="E4" s="294" t="inlineStr">
        <is>
          <t>FY24</t>
        </is>
      </c>
      <c r="F4" s="294" t="inlineStr">
        <is>
          <t>FY25</t>
        </is>
      </c>
      <c r="G4" t="inlineStr">
        <is>
          <t>FY26</t>
        </is>
      </c>
      <c r="H4" t="inlineStr">
        <is>
          <t>FY27</t>
        </is>
      </c>
      <c r="I4" t="inlineStr">
        <is>
          <t>FY28</t>
        </is>
      </c>
      <c r="J4" t="inlineStr">
        <is>
          <t>FY29</t>
        </is>
      </c>
      <c r="K4" t="inlineStr">
        <is>
          <t>FY30</t>
        </is>
      </c>
      <c r="L4" t="inlineStr">
        <is>
          <t>FY31</t>
        </is>
      </c>
    </row>
    <row r="5" ht="15" customHeight="1">
      <c r="A5" t="inlineStr">
        <is>
          <t>Revenue</t>
        </is>
      </c>
      <c r="B5" s="384" t="n">
        <v>1149.231214212157</v>
      </c>
      <c r="C5" s="384" t="n">
        <v>1255.630457833274</v>
      </c>
      <c r="D5" s="384" t="n">
        <v>1353.837385730161</v>
      </c>
      <c r="E5" s="384" t="n">
        <v>1446.975479585442</v>
      </c>
      <c r="F5" s="384" t="n">
        <v>1442.620343436196</v>
      </c>
      <c r="G5">
        <f>F5*(1+Assumptions!$D$27)</f>
        <v/>
      </c>
      <c r="H5">
        <f>G5*(1+Assumptions!$D$27)</f>
        <v/>
      </c>
      <c r="I5">
        <f>H5*(1+Assumptions!$D$27)</f>
        <v/>
      </c>
      <c r="J5">
        <f>I5*(1+Assumptions!$D$27)</f>
        <v/>
      </c>
      <c r="K5">
        <f>J5*(1+Assumptions!$D$27)</f>
        <v/>
      </c>
      <c r="L5" s="318">
        <f>K5*(1+Assumptions!$D$27)</f>
        <v/>
      </c>
    </row>
    <row r="6" ht="15" customHeight="1">
      <c r="A6" t="inlineStr">
        <is>
          <t>YoY growth %</t>
        </is>
      </c>
      <c r="B6" s="295" t="n"/>
      <c r="C6" s="385">
        <f>C5/B5-1</f>
        <v/>
      </c>
      <c r="D6" s="385">
        <f>D5/C5-1</f>
        <v/>
      </c>
      <c r="E6" s="385">
        <f>E5/D5-1</f>
        <v/>
      </c>
      <c r="F6" s="385">
        <f>F5/E5-1</f>
        <v/>
      </c>
      <c r="G6">
        <f>G5/F5-1</f>
        <v/>
      </c>
      <c r="H6">
        <f>H5/G5-1</f>
        <v/>
      </c>
      <c r="I6">
        <f>I5/H5-1</f>
        <v/>
      </c>
      <c r="J6">
        <f>J5/I5-1</f>
        <v/>
      </c>
      <c r="K6">
        <f>K5/J5-1</f>
        <v/>
      </c>
      <c r="L6">
        <f>L5/K5-1</f>
        <v/>
      </c>
    </row>
    <row r="7" ht="15" customHeight="1">
      <c r="A7" t="inlineStr">
        <is>
          <t>GP $</t>
        </is>
      </c>
      <c r="B7" s="384" t="n">
        <v>583.0496508704913</v>
      </c>
      <c r="C7" s="384" t="n">
        <v>634.4229008151378</v>
      </c>
      <c r="D7" s="384" t="n">
        <v>689.1576721799443</v>
      </c>
      <c r="E7" s="384" t="n">
        <v>736.8009372945212</v>
      </c>
      <c r="F7" s="384" t="n">
        <v>753.1242564823526</v>
      </c>
      <c r="G7">
        <f>G5*$F$8</f>
        <v/>
      </c>
      <c r="H7">
        <f>H5*$F$8</f>
        <v/>
      </c>
      <c r="I7">
        <f>I5*$F$8</f>
        <v/>
      </c>
      <c r="J7">
        <f>J5*$F$8</f>
        <v/>
      </c>
      <c r="K7">
        <f>K5*$F$8</f>
        <v/>
      </c>
      <c r="L7">
        <f>L5*$F$8</f>
        <v/>
      </c>
    </row>
    <row r="8" ht="15" customHeight="1">
      <c r="A8" s="297" t="inlineStr">
        <is>
          <t>GM%</t>
        </is>
      </c>
      <c r="B8" s="385">
        <f>B7/B5</f>
        <v/>
      </c>
      <c r="C8" s="385">
        <f>C7/C5</f>
        <v/>
      </c>
      <c r="D8" s="385">
        <f>D7/D5</f>
        <v/>
      </c>
      <c r="E8" s="385">
        <f>E7/E5</f>
        <v/>
      </c>
      <c r="F8" s="385">
        <f>F7/F5</f>
        <v/>
      </c>
      <c r="G8">
        <f>G7/G5</f>
        <v/>
      </c>
      <c r="H8">
        <f>H7/H5</f>
        <v/>
      </c>
      <c r="I8">
        <f>I7/I5</f>
        <v/>
      </c>
      <c r="J8">
        <f>J7/J5</f>
        <v/>
      </c>
      <c r="K8">
        <f>K7/K5</f>
        <v/>
      </c>
      <c r="L8">
        <f>L7/L5</f>
        <v/>
      </c>
    </row>
    <row r="9" ht="15" customHeight="1">
      <c r="A9" t="inlineStr">
        <is>
          <t>Opex</t>
        </is>
      </c>
      <c r="B9" s="384" t="n">
        <v>-522.7281771554979</v>
      </c>
      <c r="C9" s="384" t="n">
        <v>-580.0128892499679</v>
      </c>
      <c r="D9" s="384" t="n">
        <v>-622.4207935585611</v>
      </c>
      <c r="E9" s="384" t="n">
        <v>-662.1001398628828</v>
      </c>
      <c r="F9" s="384" t="n">
        <v>-678.1153059362547</v>
      </c>
      <c r="G9">
        <f>G10-G7</f>
        <v/>
      </c>
      <c r="H9">
        <f>H10-H7</f>
        <v/>
      </c>
      <c r="I9">
        <f>I10-I7</f>
        <v/>
      </c>
      <c r="J9">
        <f>J10-J7</f>
        <v/>
      </c>
      <c r="K9">
        <f>K10-K7</f>
        <v/>
      </c>
      <c r="L9">
        <f>L10-L7</f>
        <v/>
      </c>
    </row>
    <row r="10" ht="15" customHeight="1">
      <c r="A10" s="298" t="inlineStr">
        <is>
          <t>Operating profit</t>
        </is>
      </c>
      <c r="B10" s="386">
        <f>SUM(B9,B7)</f>
        <v/>
      </c>
      <c r="C10" s="386">
        <f>SUM(C9,C7)</f>
        <v/>
      </c>
      <c r="D10" s="386">
        <f>SUM(D9,D7)</f>
        <v/>
      </c>
      <c r="E10" s="386">
        <f>SUM(E9,E7)</f>
        <v/>
      </c>
      <c r="F10" s="386">
        <f>SUM(F9,F7)</f>
        <v/>
      </c>
      <c r="G10">
        <f>G13-G12</f>
        <v/>
      </c>
      <c r="H10">
        <f>H13-H12</f>
        <v/>
      </c>
      <c r="I10">
        <f>I13-I12</f>
        <v/>
      </c>
      <c r="J10">
        <f>J13-J12</f>
        <v/>
      </c>
      <c r="K10">
        <f>K13-K12</f>
        <v/>
      </c>
      <c r="L10">
        <f>L13-L12</f>
        <v/>
      </c>
    </row>
    <row r="11" ht="15" customHeight="1">
      <c r="A11" s="297" t="inlineStr">
        <is>
          <t>Operating margin %</t>
        </is>
      </c>
      <c r="B11" s="385">
        <f>B10/B5</f>
        <v/>
      </c>
      <c r="C11" s="385">
        <f>C10/C5</f>
        <v/>
      </c>
      <c r="D11" s="385">
        <f>D10/D5</f>
        <v/>
      </c>
      <c r="E11" s="385">
        <f>E10/E5</f>
        <v/>
      </c>
      <c r="F11" s="385">
        <f>F10/F5</f>
        <v/>
      </c>
      <c r="G11">
        <f>G10/G5</f>
        <v/>
      </c>
      <c r="H11">
        <f>H10/H5</f>
        <v/>
      </c>
      <c r="I11">
        <f>I10/I5</f>
        <v/>
      </c>
      <c r="J11">
        <f>J10/J5</f>
        <v/>
      </c>
      <c r="K11">
        <f>K10/K5</f>
        <v/>
      </c>
      <c r="L11">
        <f>L10/L5</f>
        <v/>
      </c>
    </row>
    <row r="12" ht="15" customHeight="1">
      <c r="A12" t="inlineStr">
        <is>
          <t>Interest and Amortisation</t>
        </is>
      </c>
      <c r="B12" s="384" t="n">
        <v>-5.403479452054794</v>
      </c>
      <c r="C12" s="384" t="n">
        <v>-6.34</v>
      </c>
      <c r="D12" s="384" t="n">
        <v>-6.235399999999999</v>
      </c>
      <c r="E12" s="384" t="n">
        <v>-6.235399999999999</v>
      </c>
      <c r="F12" s="384" t="n">
        <v>-6.340733333333333</v>
      </c>
      <c r="G12">
        <f>$F$12</f>
        <v/>
      </c>
      <c r="H12">
        <f>$F$12</f>
        <v/>
      </c>
      <c r="I12">
        <f>$F$12</f>
        <v/>
      </c>
      <c r="J12">
        <f>$F$12</f>
        <v/>
      </c>
      <c r="K12">
        <f>$F$12</f>
        <v/>
      </c>
      <c r="L12">
        <f>$F$12</f>
        <v/>
      </c>
    </row>
    <row r="13" ht="15" customHeight="1">
      <c r="A13" s="298" t="inlineStr">
        <is>
          <t>Group PBT (Underlying)</t>
        </is>
      </c>
      <c r="B13" s="386">
        <f>B12+B10</f>
        <v/>
      </c>
      <c r="C13" s="386">
        <f>C12+C10</f>
        <v/>
      </c>
      <c r="D13" s="386">
        <f>D12+D10</f>
        <v/>
      </c>
      <c r="E13" s="386">
        <f>E12+E10</f>
        <v/>
      </c>
      <c r="F13" s="386">
        <f>F12+F10</f>
        <v/>
      </c>
      <c r="G13">
        <f>G16-G15</f>
        <v/>
      </c>
      <c r="H13">
        <f>H16-H15</f>
        <v/>
      </c>
      <c r="I13">
        <f>I16-I15</f>
        <v/>
      </c>
      <c r="J13">
        <f>J16-J15</f>
        <v/>
      </c>
      <c r="K13">
        <f>K16-K15</f>
        <v/>
      </c>
      <c r="L13">
        <f>L16-L15</f>
        <v/>
      </c>
    </row>
    <row r="14" ht="15" customHeight="1">
      <c r="B14" s="295" t="n"/>
      <c r="C14" s="295" t="n"/>
      <c r="D14" s="295" t="n"/>
      <c r="E14" s="295" t="n"/>
      <c r="F14" s="295" t="n"/>
      <c r="G14" s="387" t="n"/>
    </row>
    <row r="15" ht="15" customHeight="1">
      <c r="A15" t="inlineStr">
        <is>
          <t>Exceptionals</t>
        </is>
      </c>
      <c r="B15" s="384" t="n"/>
      <c r="C15" s="384" t="n">
        <v>-18.00446866473478</v>
      </c>
      <c r="D15" s="384" t="n">
        <v>-6.752718042979367</v>
      </c>
      <c r="E15" s="384" t="n">
        <v>1.138454026318882</v>
      </c>
      <c r="F15" s="384" t="n">
        <v>-4.865040571049306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 ht="15" customHeight="1">
      <c r="A16" s="298" t="inlineStr">
        <is>
          <t>Group PBT post exceptionals</t>
        </is>
      </c>
      <c r="B16" s="386">
        <f>B15+B13</f>
        <v/>
      </c>
      <c r="C16" s="386">
        <f>C15+C13</f>
        <v/>
      </c>
      <c r="D16" s="386">
        <f>D15+D13</f>
        <v/>
      </c>
      <c r="E16" s="386">
        <f>E15+E13</f>
        <v/>
      </c>
      <c r="F16" s="386">
        <f>F15+F13</f>
        <v/>
      </c>
      <c r="G16">
        <f>G20-G17-G18-G19</f>
        <v/>
      </c>
      <c r="H16">
        <f>H20-H17-H18-H19</f>
        <v/>
      </c>
      <c r="I16">
        <f>I20-I17-I18-I19</f>
        <v/>
      </c>
      <c r="J16">
        <f>J20-J17-J18-J19</f>
        <v/>
      </c>
      <c r="K16">
        <f>K20-K17-K18-K19</f>
        <v/>
      </c>
      <c r="L16">
        <f>L20-L17-L18-L19</f>
        <v/>
      </c>
    </row>
    <row r="17" ht="15" customHeight="1">
      <c r="A17" s="299" t="inlineStr">
        <is>
          <t>Add back: Interest</t>
        </is>
      </c>
      <c r="B17" s="384" t="n">
        <v>3.1</v>
      </c>
      <c r="C17" s="384" t="n">
        <v>4.1</v>
      </c>
      <c r="D17" s="384" t="n">
        <v>4.1</v>
      </c>
      <c r="E17" s="384" t="n">
        <v>4.1</v>
      </c>
      <c r="F17" s="384" t="n">
        <v>4.1</v>
      </c>
      <c r="G17">
        <f>$F$17</f>
        <v/>
      </c>
      <c r="H17">
        <f>$F$17</f>
        <v/>
      </c>
      <c r="I17">
        <f>$F$17</f>
        <v/>
      </c>
      <c r="J17">
        <f>$F$17</f>
        <v/>
      </c>
      <c r="K17">
        <f>$F$17</f>
        <v/>
      </c>
      <c r="L17">
        <f>$F$17</f>
        <v/>
      </c>
    </row>
    <row r="18" ht="15" customHeight="1">
      <c r="A18" s="299" t="inlineStr">
        <is>
          <t>Add back: Amortisation</t>
        </is>
      </c>
      <c r="B18" s="384" t="n">
        <v>2.1</v>
      </c>
      <c r="C18" s="384" t="n">
        <v>2.013266666666667</v>
      </c>
      <c r="D18" s="384" t="n">
        <v>1.908666666666667</v>
      </c>
      <c r="E18" s="384" t="n">
        <v>1.908666666666667</v>
      </c>
      <c r="F18" s="384" t="n">
        <v>1.908666666666667</v>
      </c>
      <c r="G18">
        <f>$F$18</f>
        <v/>
      </c>
      <c r="H18">
        <f>$F$18</f>
        <v/>
      </c>
      <c r="I18">
        <f>$F$18</f>
        <v/>
      </c>
      <c r="J18">
        <f>$F$18</f>
        <v/>
      </c>
      <c r="K18">
        <f>$F$18</f>
        <v/>
      </c>
      <c r="L18">
        <f>$F$18</f>
        <v/>
      </c>
    </row>
    <row r="19" ht="15" customHeight="1">
      <c r="A19" s="299" t="inlineStr">
        <is>
          <t>Add back: Depreciation</t>
        </is>
      </c>
      <c r="B19" s="384" t="n">
        <v>34.02921540000003</v>
      </c>
      <c r="C19" s="384" t="n">
        <v>38.44202685668235</v>
      </c>
      <c r="D19" s="384" t="n">
        <v>45.28659094914207</v>
      </c>
      <c r="E19" s="384" t="n">
        <v>49.9208769208975</v>
      </c>
      <c r="F19" s="384" t="n">
        <v>52.89124547549252</v>
      </c>
      <c r="G19">
        <f>G5*Assumptions!$D$29-G18</f>
        <v/>
      </c>
      <c r="H19">
        <f>H5*Assumptions!$D$29-H18</f>
        <v/>
      </c>
      <c r="I19">
        <f>I5*Assumptions!$D$29-I18</f>
        <v/>
      </c>
      <c r="J19">
        <f>J5*Assumptions!$D$29-J18</f>
        <v/>
      </c>
      <c r="K19">
        <f>K5*Assumptions!$D$29-K18</f>
        <v/>
      </c>
      <c r="L19">
        <f>L5*Assumptions!$D$29-L18</f>
        <v/>
      </c>
    </row>
    <row r="20" ht="15" customHeight="1">
      <c r="A20" s="298" t="inlineStr">
        <is>
          <t>EBITDA post exceptionals</t>
        </is>
      </c>
      <c r="B20" s="386">
        <f>SUM(B16:B19)</f>
        <v/>
      </c>
      <c r="C20" s="386">
        <f>SUM(C16:C19)</f>
        <v/>
      </c>
      <c r="D20" s="386">
        <f>SUM(D16:D19)</f>
        <v/>
      </c>
      <c r="E20" s="386">
        <f>SUM(E16:E19)</f>
        <v/>
      </c>
      <c r="F20" s="386">
        <f>SUM(F16:F19)</f>
        <v/>
      </c>
      <c r="G20">
        <f>G5*Assumptions!$D$28</f>
        <v/>
      </c>
      <c r="H20">
        <f>H5*Assumptions!$D$28</f>
        <v/>
      </c>
      <c r="I20">
        <f>I5*Assumptions!$D$28</f>
        <v/>
      </c>
      <c r="J20">
        <f>J5*Assumptions!$D$28</f>
        <v/>
      </c>
      <c r="K20">
        <f>K5*Assumptions!$D$28</f>
        <v/>
      </c>
      <c r="L20">
        <f>L5*Assumptions!$D$28</f>
        <v/>
      </c>
    </row>
    <row r="21" ht="15" customHeight="1">
      <c r="B21" s="384" t="n"/>
      <c r="C21" s="384" t="n"/>
      <c r="D21" s="295" t="n"/>
      <c r="E21" s="295" t="n"/>
      <c r="F21" s="295" t="n"/>
    </row>
    <row r="22" ht="15" customHeight="1">
      <c r="A22" t="inlineStr">
        <is>
          <t>Adjust for non-cash exceptionals</t>
        </is>
      </c>
      <c r="B22" s="384" t="n">
        <v>0</v>
      </c>
      <c r="C22" s="384" t="n">
        <v>0</v>
      </c>
      <c r="D22" s="384" t="n">
        <v>0</v>
      </c>
      <c r="E22" s="384" t="n">
        <v>24</v>
      </c>
      <c r="F22" s="384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 ht="15" customHeight="1">
      <c r="A23" t="inlineStr">
        <is>
          <t>Capex</t>
        </is>
      </c>
      <c r="B23" s="384" t="n">
        <v>-36</v>
      </c>
      <c r="C23" s="384" t="n">
        <v>-51</v>
      </c>
      <c r="D23" s="384" t="n">
        <v>-50</v>
      </c>
      <c r="E23" s="384" t="n">
        <v>-50</v>
      </c>
      <c r="F23" s="384" t="n">
        <v>-50</v>
      </c>
      <c r="G23">
        <f>-G5*Assumptions!$D$30</f>
        <v/>
      </c>
      <c r="H23">
        <f>-H5*Assumptions!$D$30</f>
        <v/>
      </c>
      <c r="I23">
        <f>-I5*Assumptions!$D$30</f>
        <v/>
      </c>
      <c r="J23">
        <f>-J5*Assumptions!$D$30</f>
        <v/>
      </c>
      <c r="K23">
        <f>-K5*Assumptions!$D$30</f>
        <v/>
      </c>
      <c r="L23">
        <f>-L5*Assumptions!$D$30</f>
        <v/>
      </c>
    </row>
    <row r="24" ht="15" customHeight="1">
      <c r="A24" t="inlineStr">
        <is>
          <t>Acquisition</t>
        </is>
      </c>
      <c r="B24" s="384" t="n">
        <v>-9.199999999999999</v>
      </c>
      <c r="C24" s="384" t="n">
        <v>-9.199999999999999</v>
      </c>
      <c r="D24" s="384" t="n">
        <v>0</v>
      </c>
      <c r="E24" s="384" t="n">
        <v>0</v>
      </c>
      <c r="F24" s="38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 ht="15" customHeight="1">
      <c r="A25" t="inlineStr">
        <is>
          <t>Tax</t>
        </is>
      </c>
      <c r="B25" s="384" t="n">
        <v>-18.06402320252365</v>
      </c>
      <c r="C25" s="384" t="n">
        <v>-8.693414081730614</v>
      </c>
      <c r="D25" s="384" t="n">
        <v>-10.93107815184899</v>
      </c>
      <c r="E25" s="384" t="n">
        <v>-12.36458353769487</v>
      </c>
      <c r="F25" s="384" t="n">
        <v>-12.42005109829757</v>
      </c>
      <c r="G25">
        <f>-G16*Assumptions!$D$32</f>
        <v/>
      </c>
      <c r="H25">
        <f>-H16*Assumptions!$D$32</f>
        <v/>
      </c>
      <c r="I25">
        <f>-I16*Assumptions!$D$32</f>
        <v/>
      </c>
      <c r="J25">
        <f>-J16*Assumptions!$D$32</f>
        <v/>
      </c>
      <c r="K25">
        <f>-K16*Assumptions!$D$32</f>
        <v/>
      </c>
      <c r="L25">
        <f>-L16*Assumptions!$D$32</f>
        <v/>
      </c>
    </row>
    <row r="26" ht="15" customHeight="1">
      <c r="A26" t="inlineStr">
        <is>
          <t>Interest</t>
        </is>
      </c>
      <c r="B26" s="384" t="n">
        <v>-3.1</v>
      </c>
      <c r="C26" s="384" t="n">
        <v>-4.1</v>
      </c>
      <c r="D26" s="384" t="n">
        <v>-4.1</v>
      </c>
      <c r="E26" s="384" t="n">
        <v>-4.1</v>
      </c>
      <c r="F26" s="384" t="n">
        <v>-4.1</v>
      </c>
      <c r="G26">
        <f>-G17</f>
        <v/>
      </c>
      <c r="H26">
        <f>-H17</f>
        <v/>
      </c>
      <c r="I26">
        <f>-I17</f>
        <v/>
      </c>
      <c r="J26">
        <f>-J17</f>
        <v/>
      </c>
      <c r="K26">
        <f>-K17</f>
        <v/>
      </c>
      <c r="L26">
        <f>-L17</f>
        <v/>
      </c>
    </row>
    <row r="27" ht="15" customHeight="1">
      <c r="A27" t="inlineStr">
        <is>
          <t xml:space="preserve">Working Capital </t>
        </is>
      </c>
      <c r="B27" s="384" t="n">
        <v>6</v>
      </c>
      <c r="C27" s="384" t="n">
        <v>16.11195444090341</v>
      </c>
      <c r="D27" s="384" t="n">
        <v>15.16889266680471</v>
      </c>
      <c r="E27" s="384" t="n">
        <v>11.1102169006686</v>
      </c>
      <c r="F27" s="384" t="n">
        <v>3.954859553239036</v>
      </c>
      <c r="G27">
        <f>-G5*Assumptions!$D$31</f>
        <v/>
      </c>
      <c r="H27">
        <f>-H5*Assumptions!$D$31</f>
        <v/>
      </c>
      <c r="I27">
        <f>-I5*Assumptions!$D$31</f>
        <v/>
      </c>
      <c r="J27">
        <f>-J5*Assumptions!$D$31</f>
        <v/>
      </c>
      <c r="K27">
        <f>-K5*Assumptions!$D$31</f>
        <v/>
      </c>
      <c r="L27">
        <f>-L5*Assumptions!$D$31</f>
        <v/>
      </c>
    </row>
    <row r="28" ht="15" customHeight="1">
      <c r="A28" t="inlineStr">
        <is>
          <t>Dividend</t>
        </is>
      </c>
      <c r="B28" s="384" t="n">
        <v>-36.59999999999999</v>
      </c>
      <c r="C28" s="384" t="n">
        <v>-24</v>
      </c>
      <c r="D28" s="384" t="n">
        <v>-24</v>
      </c>
      <c r="E28" s="384" t="n">
        <v>-24</v>
      </c>
      <c r="F28" s="384" t="n">
        <v>-24</v>
      </c>
      <c r="G28">
        <f>$F$28</f>
        <v/>
      </c>
      <c r="H28">
        <f>$F$28</f>
        <v/>
      </c>
      <c r="I28">
        <f>$F$28</f>
        <v/>
      </c>
      <c r="J28">
        <f>$F$28</f>
        <v/>
      </c>
      <c r="K28">
        <f>$F$28</f>
        <v/>
      </c>
      <c r="L28">
        <f>$F$28</f>
        <v/>
      </c>
    </row>
    <row r="29" ht="15" customHeight="1">
      <c r="A29" t="inlineStr">
        <is>
          <t>Other</t>
        </is>
      </c>
      <c r="B29" s="384" t="n">
        <v>0</v>
      </c>
      <c r="C29" s="384" t="n"/>
      <c r="D29" s="384" t="n">
        <v>-5</v>
      </c>
      <c r="E29" s="384" t="n">
        <v>-5</v>
      </c>
      <c r="F29" s="384" t="n">
        <v>-5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</row>
    <row r="30" ht="15" customHeight="1">
      <c r="B30" s="295" t="n"/>
      <c r="C30" s="295" t="n"/>
      <c r="D30" s="295" t="n"/>
      <c r="E30" s="295" t="n"/>
      <c r="F30" s="295" t="n"/>
    </row>
    <row r="31" ht="15" customHeight="1">
      <c r="A31" t="inlineStr">
        <is>
          <t>Net Cash flow</t>
        </is>
      </c>
      <c r="B31" s="386">
        <f>SUM(B20:B30)</f>
        <v/>
      </c>
      <c r="C31" s="386">
        <f>SUM(C20:C30)</f>
        <v/>
      </c>
      <c r="D31" s="386">
        <f>SUM(D20:D30)</f>
        <v/>
      </c>
      <c r="E31" s="386">
        <f>SUM(E20:E30)</f>
        <v/>
      </c>
      <c r="F31" s="386">
        <f>SUM(F20:F30)</f>
        <v/>
      </c>
      <c r="G31">
        <f>SUM(G20:G30)</f>
        <v/>
      </c>
      <c r="H31">
        <f>SUM(H20:H30)</f>
        <v/>
      </c>
      <c r="I31">
        <f>SUM(I20:I30)</f>
        <v/>
      </c>
      <c r="J31">
        <f>SUM(J20:J30)</f>
        <v/>
      </c>
      <c r="K31">
        <f>SUM(K20:K30)</f>
        <v/>
      </c>
      <c r="L31">
        <f>SUM(L20:L30)</f>
        <v/>
      </c>
    </row>
    <row r="32" ht="15" customHeight="1">
      <c r="A32" s="300" t="inlineStr">
        <is>
          <t>Free Cash Flow</t>
        </is>
      </c>
      <c r="B32" s="386">
        <f>B31-B28-B24</f>
        <v/>
      </c>
      <c r="C32" s="386">
        <f>C31-C28-C24</f>
        <v/>
      </c>
      <c r="D32" s="386">
        <f>D31-D28-D24</f>
        <v/>
      </c>
      <c r="E32" s="386">
        <f>E31-E28-E24</f>
        <v/>
      </c>
      <c r="F32" s="386">
        <f>F31-F28-F24</f>
        <v/>
      </c>
      <c r="G32">
        <f>G31-G28-G24</f>
        <v/>
      </c>
      <c r="H32">
        <f>H31-H28-H24</f>
        <v/>
      </c>
      <c r="I32">
        <f>I31-I28-I24</f>
        <v/>
      </c>
      <c r="J32">
        <f>J31-J28-J24</f>
        <v/>
      </c>
      <c r="K32">
        <f>K31-K28-K24</f>
        <v/>
      </c>
      <c r="L32">
        <f>L31-L28-L24</f>
        <v/>
      </c>
    </row>
    <row r="33" ht="15" customHeight="1">
      <c r="B33" s="295" t="n"/>
      <c r="C33" s="295" t="n"/>
      <c r="D33" s="295" t="n"/>
      <c r="E33" s="295" t="n"/>
      <c r="F33" s="295" t="n"/>
    </row>
    <row r="34" ht="15" customHeight="1">
      <c r="A34" t="inlineStr">
        <is>
          <t>Opening Net Debt</t>
        </is>
      </c>
      <c r="B34" s="384" t="n">
        <v>-81.8</v>
      </c>
      <c r="C34" s="384">
        <f>B35</f>
        <v/>
      </c>
      <c r="D34" s="384">
        <f>C35</f>
        <v/>
      </c>
      <c r="E34" s="384">
        <f>D35</f>
        <v/>
      </c>
      <c r="F34" s="384">
        <f>E35</f>
        <v/>
      </c>
      <c r="G34">
        <f>F35</f>
        <v/>
      </c>
      <c r="H34">
        <f>G35</f>
        <v/>
      </c>
      <c r="I34">
        <f>H35</f>
        <v/>
      </c>
      <c r="J34">
        <f>I35</f>
        <v/>
      </c>
      <c r="K34">
        <f>J35</f>
        <v/>
      </c>
      <c r="L34">
        <f>K35</f>
        <v/>
      </c>
    </row>
    <row r="35" ht="15" customHeight="1">
      <c r="A35" t="inlineStr">
        <is>
          <t>Closing Net Debt</t>
        </is>
      </c>
      <c r="B35" s="384">
        <f>B34+B31</f>
        <v/>
      </c>
      <c r="C35" s="384">
        <f>C34+C31</f>
        <v/>
      </c>
      <c r="D35" s="384">
        <f>D34+D31</f>
        <v/>
      </c>
      <c r="E35" s="384">
        <f>E34+E31</f>
        <v/>
      </c>
      <c r="F35" s="384">
        <f>F34+F31</f>
        <v/>
      </c>
      <c r="G35">
        <f>G34+G31</f>
        <v/>
      </c>
      <c r="H35">
        <f>H34+H31</f>
        <v/>
      </c>
      <c r="I35">
        <f>I34+I31</f>
        <v/>
      </c>
      <c r="J35">
        <f>J34+J31</f>
        <v/>
      </c>
      <c r="K35">
        <f>K34+K31</f>
        <v/>
      </c>
      <c r="L35">
        <f>L34+L31</f>
        <v/>
      </c>
    </row>
    <row r="36" ht="15" customHeight="1">
      <c r="A36" s="298" t="inlineStr">
        <is>
          <t>Net debt : EBITDA</t>
        </is>
      </c>
      <c r="B36" s="388">
        <f>-B35/(B20-B15)</f>
        <v/>
      </c>
      <c r="C36" s="388">
        <f>-C35/(C20-C15)</f>
        <v/>
      </c>
      <c r="D36" s="388">
        <f>-D35/(D20-D15)</f>
        <v/>
      </c>
      <c r="E36" s="388">
        <f>-E35/(E20-E15)</f>
        <v/>
      </c>
      <c r="F36" s="388">
        <f>-F35/(F20-F15)</f>
        <v/>
      </c>
      <c r="G36">
        <f>-G35/(G20-G15)</f>
        <v/>
      </c>
      <c r="H36">
        <f>-H35/(H20-H15)</f>
        <v/>
      </c>
      <c r="I36">
        <f>-I35/(I20-I15)</f>
        <v/>
      </c>
      <c r="J36">
        <f>-J35/(J20-J15)</f>
        <v/>
      </c>
      <c r="K36">
        <f>-K35/(K20-K15)</f>
        <v/>
      </c>
      <c r="L36">
        <f>-L35/(L20-L15)</f>
        <v/>
      </c>
    </row>
    <row r="37" ht="15" customHeight="1">
      <c r="B37" s="295" t="n"/>
      <c r="C37" s="295" t="n"/>
      <c r="D37" s="295" t="n"/>
      <c r="E37" s="295" t="n"/>
      <c r="F37" s="295" t="n"/>
    </row>
    <row r="38" ht="15" customHeight="1">
      <c r="B38" s="384" t="n"/>
      <c r="C38" s="384" t="n"/>
      <c r="D38" s="384" t="n"/>
      <c r="E38" s="384" t="n"/>
      <c r="F38" s="384" t="n"/>
    </row>
    <row r="39" ht="15" customHeight="1">
      <c r="B39" s="384" t="n"/>
      <c r="C39" s="384" t="n"/>
      <c r="D39" s="384" t="n"/>
      <c r="E39" s="384" t="n"/>
      <c r="F39" s="384" t="n"/>
    </row>
    <row r="40" ht="15" customHeight="1">
      <c r="B40" s="384" t="n"/>
      <c r="C40" s="384" t="n"/>
      <c r="D40" s="384" t="n"/>
      <c r="E40" s="384" t="n"/>
      <c r="F40" s="384" t="n"/>
    </row>
    <row r="41" ht="15" customHeight="1">
      <c r="B41" s="384" t="n"/>
      <c r="C41" s="384" t="n"/>
      <c r="D41" s="384" t="n"/>
      <c r="E41" s="384" t="n"/>
      <c r="F41" s="384" t="n"/>
    </row>
    <row r="42" ht="15" customHeight="1">
      <c r="B42" s="384" t="n"/>
      <c r="C42" s="384" t="n"/>
      <c r="D42" s="384" t="n"/>
      <c r="E42" s="384" t="n"/>
      <c r="F42" s="384" t="n"/>
    </row>
    <row r="43" ht="15" customHeight="1">
      <c r="B43" s="384" t="n"/>
      <c r="C43" s="384" t="n"/>
      <c r="D43" s="384" t="n"/>
      <c r="E43" s="384" t="n"/>
      <c r="F43" s="384" t="n"/>
    </row>
    <row r="44" ht="15" customHeight="1">
      <c r="B44" s="384" t="n"/>
      <c r="C44" s="384" t="n"/>
      <c r="D44" s="384" t="n"/>
      <c r="E44" s="384" t="n"/>
      <c r="F44" s="384" t="n"/>
    </row>
    <row r="45" ht="15" customHeight="1">
      <c r="B45" s="384" t="n"/>
      <c r="C45" s="384" t="n"/>
      <c r="D45" s="384" t="n"/>
      <c r="E45" s="384" t="n"/>
      <c r="F45" s="384" t="n"/>
    </row>
    <row r="46" ht="15" customHeight="1">
      <c r="B46" s="384" t="n"/>
      <c r="C46" s="384" t="n"/>
      <c r="D46" s="384" t="n"/>
      <c r="E46" s="384" t="n"/>
      <c r="F46" s="384" t="n"/>
    </row>
    <row r="47" ht="15" customHeight="1">
      <c r="B47" s="384" t="n"/>
      <c r="C47" s="384" t="n"/>
      <c r="D47" s="384" t="n"/>
      <c r="E47" s="384" t="n"/>
      <c r="F47" s="384" t="n"/>
    </row>
    <row r="48" ht="15" customHeight="1">
      <c r="B48" s="384" t="n"/>
      <c r="C48" s="384" t="n"/>
      <c r="D48" s="384" t="n"/>
      <c r="E48" s="384" t="n"/>
      <c r="F48" s="384" t="n"/>
    </row>
  </sheetData>
  <mergeCells count="1">
    <mergeCell ref="B3:F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3" tint="0.5999938962981048"/>
    <outlinePr summaryBelow="1" summaryRight="1"/>
    <pageSetUpPr/>
  </sheetPr>
  <dimension ref="B2:AH92"/>
  <sheetViews>
    <sheetView showGridLines="0" topLeftCell="A47" zoomScale="85" zoomScaleNormal="85" zoomScaleSheetLayoutView="85" workbookViewId="0">
      <selection activeCell="F10" sqref="F10"/>
    </sheetView>
  </sheetViews>
  <sheetFormatPr baseColWidth="10" defaultColWidth="9.1640625" defaultRowHeight="13" outlineLevelRow="1"/>
  <cols>
    <col width="3" customWidth="1" style="7" min="1" max="1"/>
    <col width="2.83203125" customWidth="1" style="7" min="2" max="2"/>
    <col width="27.6640625" customWidth="1" style="7" min="3" max="3"/>
    <col width="3.5" customWidth="1" style="7" min="4" max="5"/>
    <col width="12.6640625" customWidth="1" style="7" min="6" max="22"/>
    <col width="3.5" customWidth="1" style="7" min="23" max="23"/>
    <col width="9.1640625" customWidth="1" style="7" min="24" max="16384"/>
  </cols>
  <sheetData>
    <row r="2" ht="12" customHeight="1">
      <c r="B2" s="45" t="n"/>
      <c r="E2" s="389" t="n"/>
      <c r="O2" s="34" t="n"/>
      <c r="R2" s="35" t="n"/>
    </row>
    <row r="3" ht="12" customHeight="1">
      <c r="B3" s="45" t="n"/>
      <c r="E3" s="389" t="n"/>
      <c r="O3" s="34" t="n"/>
      <c r="R3" s="35" t="n"/>
    </row>
    <row r="4" ht="4.5" customHeight="1">
      <c r="B4" s="371" t="n"/>
      <c r="C4" s="390" t="n"/>
      <c r="D4" s="390" t="n"/>
      <c r="E4" s="9" t="n"/>
      <c r="F4" s="391" t="n"/>
      <c r="G4" s="391" t="n"/>
      <c r="H4" s="391" t="n"/>
      <c r="I4" s="391" t="n"/>
      <c r="J4" s="391" t="n"/>
      <c r="K4" s="391" t="n"/>
      <c r="L4" s="371" t="n"/>
      <c r="M4" s="371" t="n"/>
      <c r="N4" s="392" t="n"/>
      <c r="O4" s="371" t="n"/>
      <c r="P4" s="371" t="n"/>
      <c r="Q4" s="371" t="n"/>
      <c r="R4" s="371" t="n"/>
      <c r="S4" s="371" t="n"/>
      <c r="T4" s="371" t="n"/>
      <c r="U4" s="371" t="n"/>
      <c r="V4" s="371" t="n"/>
    </row>
    <row r="5" ht="12.75" customHeight="1">
      <c r="B5" s="371" t="n"/>
      <c r="C5" s="393" t="inlineStr">
        <is>
          <t>Income statement</t>
        </is>
      </c>
      <c r="D5" s="394" t="n"/>
      <c r="E5" s="18" t="n"/>
      <c r="F5" s="395" t="n"/>
      <c r="G5" s="395" t="n"/>
      <c r="H5" s="395" t="n"/>
      <c r="I5" s="395" t="n"/>
      <c r="J5" s="395" t="n"/>
      <c r="K5" s="395" t="n"/>
      <c r="L5" s="396" t="n"/>
      <c r="M5" s="396" t="n"/>
      <c r="N5" s="397" t="n"/>
      <c r="O5" s="396" t="n"/>
      <c r="P5" s="396" t="n"/>
      <c r="Q5" s="396" t="n"/>
      <c r="R5" s="396" t="n"/>
      <c r="S5" s="396" t="n"/>
      <c r="T5" s="396" t="n"/>
      <c r="U5" s="396" t="n"/>
      <c r="V5" s="398" t="n"/>
    </row>
    <row r="6" ht="4.5" customHeight="1">
      <c r="B6" s="371" t="n"/>
      <c r="C6" s="371" t="n"/>
      <c r="D6" s="371" t="n"/>
      <c r="E6" s="380" t="n"/>
      <c r="F6" s="371" t="n"/>
      <c r="G6" s="371" t="n"/>
      <c r="H6" s="371" t="n"/>
      <c r="I6" s="371" t="n"/>
      <c r="J6" s="371" t="n"/>
      <c r="K6" s="371" t="n"/>
      <c r="L6" s="371" t="n"/>
      <c r="M6" s="371" t="n"/>
      <c r="N6" s="392" t="n"/>
      <c r="O6" s="371" t="n"/>
      <c r="P6" s="371" t="n"/>
      <c r="Q6" s="371" t="n"/>
      <c r="R6" s="371" t="n"/>
      <c r="S6" s="371" t="n"/>
    </row>
    <row r="7">
      <c r="B7" s="371" t="n"/>
      <c r="D7" s="374" t="n"/>
      <c r="F7" s="399" t="inlineStr">
        <is>
          <t>Actuals</t>
        </is>
      </c>
      <c r="G7" s="399" t="n"/>
      <c r="H7" s="399" t="n"/>
      <c r="I7" s="399" t="n"/>
      <c r="J7" s="399" t="n"/>
      <c r="K7" s="399" t="n"/>
      <c r="L7" s="399" t="n"/>
      <c r="M7" s="399" t="n"/>
      <c r="N7" s="399" t="n"/>
      <c r="O7" s="399" t="n"/>
      <c r="P7" s="399" t="n"/>
      <c r="Q7" s="400" t="inlineStr">
        <is>
          <t>Forecast</t>
        </is>
      </c>
      <c r="R7" s="400" t="n"/>
      <c r="S7" s="400" t="n"/>
      <c r="T7" s="400" t="n"/>
      <c r="U7" s="400" t="n"/>
      <c r="V7" s="400" t="n"/>
    </row>
    <row r="8" ht="12.75" customHeight="1">
      <c r="B8" s="371" t="n"/>
      <c r="D8" s="371" t="n"/>
      <c r="E8" s="380" t="n"/>
      <c r="F8" s="371" t="n"/>
      <c r="G8" s="371" t="n"/>
      <c r="H8" s="371" t="n"/>
      <c r="I8" s="371" t="n"/>
      <c r="J8" s="371" t="n"/>
      <c r="K8" s="371" t="n"/>
      <c r="L8" s="371" t="n"/>
      <c r="M8" s="401" t="n"/>
      <c r="N8" s="392" t="n"/>
      <c r="O8" s="371" t="n"/>
      <c r="P8" s="371" t="n"/>
      <c r="Q8" s="371" t="n"/>
      <c r="R8" s="371" t="n"/>
      <c r="S8" s="371" t="n"/>
    </row>
    <row r="9" ht="12.75" customHeight="1">
      <c r="B9" s="371" t="n"/>
      <c r="C9" s="36">
        <f>TEXT(Assumptions!$D$11,"mmmm")&amp;" YE ($mm)"</f>
        <v/>
      </c>
      <c r="D9" s="36" t="n"/>
      <c r="E9" s="402" t="n"/>
      <c r="F9" s="403" t="n">
        <v>42094</v>
      </c>
      <c r="G9" s="403">
        <f>+EDATE(F9,12)</f>
        <v/>
      </c>
      <c r="H9" s="403">
        <f>+EDATE(G9,12)</f>
        <v/>
      </c>
      <c r="I9" s="403">
        <f>+EDATE(H9,12)</f>
        <v/>
      </c>
      <c r="J9" s="403">
        <f>+EDATE(I9,12)</f>
        <v/>
      </c>
      <c r="K9" s="403">
        <f>+EDATE(J9,12)</f>
        <v/>
      </c>
      <c r="L9" s="404">
        <f>+EDATE(K9,12)</f>
        <v/>
      </c>
      <c r="M9" s="404">
        <f>+EDATE(L9,12)</f>
        <v/>
      </c>
      <c r="N9" s="404">
        <f>+EDATE(M9,12)</f>
        <v/>
      </c>
      <c r="O9" s="404">
        <f>+EDATE(N9,12)</f>
        <v/>
      </c>
      <c r="P9" s="404">
        <f>+EDATE(O9,12)</f>
        <v/>
      </c>
      <c r="Q9" s="404">
        <f>+EDATE(P9,12)</f>
        <v/>
      </c>
      <c r="R9" s="404">
        <f>+EDATE(Q9,12)</f>
        <v/>
      </c>
      <c r="S9" s="404">
        <f>+EDATE(R9,12)</f>
        <v/>
      </c>
      <c r="T9" s="404">
        <f>+EDATE(S9,12)</f>
        <v/>
      </c>
      <c r="U9" s="404">
        <f>+EDATE(T9,12)</f>
        <v/>
      </c>
      <c r="V9" s="404">
        <f>+EDATE(U9,12)</f>
        <v/>
      </c>
    </row>
    <row r="10" ht="12.75" customHeight="1">
      <c r="B10" s="371" t="n"/>
      <c r="C10" s="371" t="n"/>
      <c r="D10" s="371" t="n"/>
      <c r="E10" s="371" t="n"/>
      <c r="F10" s="371" t="n"/>
      <c r="G10" s="371" t="n"/>
      <c r="H10" s="371" t="n"/>
      <c r="I10" s="371" t="n"/>
      <c r="J10" s="371" t="n"/>
      <c r="K10" s="371" t="n"/>
      <c r="L10" s="371" t="n"/>
      <c r="M10" s="371" t="n"/>
      <c r="N10" s="371" t="n"/>
      <c r="O10" s="371" t="n"/>
      <c r="P10" s="401" t="n"/>
      <c r="Q10" s="371" t="n"/>
      <c r="R10" s="371" t="n"/>
      <c r="S10" s="371" t="n"/>
      <c r="U10" s="371" t="n"/>
      <c r="V10" s="371" t="n"/>
    </row>
    <row r="11">
      <c r="B11" s="371" t="n"/>
      <c r="C11" s="405" t="inlineStr">
        <is>
          <t>Total revenue</t>
        </is>
      </c>
      <c r="D11" s="405" t="n"/>
      <c r="E11" s="405" t="n"/>
      <c r="F11" s="406" t="n">
        <v>939.7</v>
      </c>
      <c r="G11" s="406" t="n">
        <v>1004.9</v>
      </c>
      <c r="H11" s="406" t="n">
        <v>1021.5</v>
      </c>
      <c r="I11" s="406" t="n">
        <v>1095</v>
      </c>
      <c r="J11" s="406" t="n">
        <v>1135.1</v>
      </c>
      <c r="K11" s="406" t="n">
        <v>1138.6</v>
      </c>
      <c r="L11" s="407" t="n">
        <v>1149.23</v>
      </c>
      <c r="M11" s="407" t="n">
        <v>1255.63</v>
      </c>
      <c r="N11" s="407" t="n">
        <v>1353.84</v>
      </c>
      <c r="O11" s="407" t="n">
        <v>1446.98</v>
      </c>
      <c r="P11" s="407" t="n">
        <v>1442.62</v>
      </c>
      <c r="Q11" s="407">
        <f>P11*(1+Q13)</f>
        <v/>
      </c>
      <c r="R11" s="407">
        <f>Q11*(1+R13)</f>
        <v/>
      </c>
      <c r="S11" s="407">
        <f>R11*(1+S13)</f>
        <v/>
      </c>
      <c r="T11" s="407">
        <f>S11*(1+T13)</f>
        <v/>
      </c>
      <c r="U11" s="407">
        <f>T11*(1+U13)</f>
        <v/>
      </c>
      <c r="V11" s="407">
        <f>U11*(1+V13)</f>
        <v/>
      </c>
    </row>
    <row r="12" outlineLevel="1">
      <c r="B12" s="371" t="n"/>
      <c r="C12" s="408" t="inlineStr">
        <is>
          <t>Management case</t>
        </is>
      </c>
      <c r="D12" s="408" t="n"/>
      <c r="E12" s="408" t="n"/>
      <c r="F12" s="409" t="n"/>
      <c r="G12" s="409" t="n"/>
      <c r="H12" s="409" t="n"/>
      <c r="I12" s="409" t="n"/>
      <c r="J12" s="409" t="n"/>
      <c r="K12" s="409" t="n"/>
      <c r="L12" s="410" t="n">
        <v>1149.23</v>
      </c>
      <c r="M12" s="410" t="n">
        <v>1255.63</v>
      </c>
      <c r="N12" s="410" t="n">
        <v>1353.84</v>
      </c>
      <c r="O12" s="410" t="n">
        <v>1446.98</v>
      </c>
      <c r="P12" s="410" t="n">
        <v>1442.62</v>
      </c>
      <c r="Q12" s="375">
        <f>Q11</f>
        <v/>
      </c>
      <c r="R12" s="375">
        <f>R11</f>
        <v/>
      </c>
      <c r="S12" s="375">
        <f>S11</f>
        <v/>
      </c>
      <c r="T12" s="375">
        <f>T11</f>
        <v/>
      </c>
      <c r="U12" s="375">
        <f>U11</f>
        <v/>
      </c>
      <c r="V12" s="375">
        <f>V11</f>
        <v/>
      </c>
      <c r="Y12" s="326" t="inlineStr">
        <is>
          <t>&lt;&lt;&lt; link from financials tab</t>
        </is>
      </c>
      <c r="Z12" s="326" t="n"/>
      <c r="AA12" s="326" t="n"/>
      <c r="AB12" s="326" t="n"/>
      <c r="AC12" s="326" t="n"/>
      <c r="AD12" s="326" t="n"/>
      <c r="AE12" s="326" t="n"/>
      <c r="AF12" s="326" t="n"/>
      <c r="AG12" s="326" t="n"/>
      <c r="AH12" s="326" t="n"/>
    </row>
    <row r="13">
      <c r="B13" s="411" t="n"/>
      <c r="C13" s="411" t="inlineStr">
        <is>
          <t>% forecast growth</t>
        </is>
      </c>
      <c r="D13" s="411" t="n"/>
      <c r="E13" s="412" t="n"/>
      <c r="L13" s="413">
        <f>IF(ISERROR(L12/K11-1),"n.a.",L12/K11-1)</f>
        <v/>
      </c>
      <c r="M13" s="413">
        <f>IF(ISERROR(M12/L12-1),"n.a.",M12/L12-1)</f>
        <v/>
      </c>
      <c r="N13" s="413">
        <f>IF(ISERROR(N12/M12-1),"n.a.",N12/M12-1)</f>
        <v/>
      </c>
      <c r="O13" s="413">
        <f>IF(ISERROR(O12/N12-1),"n.a.",O12/N12-1)</f>
        <v/>
      </c>
      <c r="P13" s="413">
        <f>IF(ISERROR(P12/O12-1),"n.a.",P12/O12-1)</f>
        <v/>
      </c>
      <c r="Q13" s="414">
        <f>Assumptions!$D$27</f>
        <v/>
      </c>
      <c r="R13" s="415">
        <f>Assumptions!$D$27</f>
        <v/>
      </c>
      <c r="S13" s="415">
        <f>Assumptions!$D$27</f>
        <v/>
      </c>
      <c r="T13" s="415">
        <f>Assumptions!$D$27</f>
        <v/>
      </c>
      <c r="U13" s="415">
        <f>Assumptions!$D$27</f>
        <v/>
      </c>
      <c r="V13" s="414">
        <f>Assumptions!$D$27</f>
        <v/>
      </c>
      <c r="Y13" s="326" t="inlineStr">
        <is>
          <t>&lt;&lt;&lt; include growth rates trending to 1% by 2030</t>
        </is>
      </c>
      <c r="Z13" s="326" t="n"/>
      <c r="AA13" s="326" t="n"/>
      <c r="AB13" s="326" t="n"/>
      <c r="AC13" s="326" t="n"/>
      <c r="AD13" s="326" t="n"/>
      <c r="AE13" s="326" t="n"/>
      <c r="AF13" s="326" t="n"/>
      <c r="AG13" s="326" t="n"/>
      <c r="AH13" s="326" t="n"/>
    </row>
    <row r="14">
      <c r="B14" s="411" t="n"/>
      <c r="C14" s="411" t="n"/>
      <c r="D14" s="411" t="n"/>
      <c r="E14" s="412" t="n"/>
      <c r="F14" s="412" t="n"/>
      <c r="G14" s="412" t="n"/>
      <c r="H14" s="412" t="n"/>
      <c r="I14" s="412" t="n"/>
      <c r="J14" s="412" t="n"/>
      <c r="K14" s="412" t="n"/>
      <c r="L14" s="412" t="n"/>
      <c r="M14" s="412" t="n"/>
      <c r="N14" s="412" t="n"/>
      <c r="O14" s="412" t="n"/>
      <c r="P14" s="412" t="n"/>
      <c r="Q14" s="412" t="n"/>
      <c r="R14" s="412" t="n"/>
      <c r="S14" s="412" t="n"/>
      <c r="T14" s="412" t="n"/>
      <c r="U14" s="412" t="n"/>
      <c r="V14" s="412" t="n"/>
    </row>
    <row r="15">
      <c r="B15" s="371" t="n"/>
      <c r="C15" s="405" t="inlineStr">
        <is>
          <t>EBITDA</t>
        </is>
      </c>
      <c r="D15" s="405" t="n"/>
      <c r="E15" s="405" t="n"/>
      <c r="F15" s="406" t="n">
        <v>101.1</v>
      </c>
      <c r="G15" s="406" t="n">
        <v>109.9</v>
      </c>
      <c r="H15" s="406" t="n">
        <v>114.6</v>
      </c>
      <c r="I15" s="406" t="n">
        <v>108.7</v>
      </c>
      <c r="J15" s="406" t="n">
        <v>109.5</v>
      </c>
      <c r="K15" s="406" t="n">
        <v>98.2</v>
      </c>
      <c r="L15" s="407" t="n">
        <v>94.15000000000001</v>
      </c>
      <c r="M15" s="407" t="n">
        <v>92.62</v>
      </c>
      <c r="N15" s="407" t="n">
        <v>111.8</v>
      </c>
      <c r="O15" s="407" t="n">
        <v>124.4</v>
      </c>
      <c r="P15" s="407" t="n">
        <v>127.57</v>
      </c>
      <c r="Q15" s="407">
        <f>Q11*Q18</f>
        <v/>
      </c>
      <c r="R15" s="407">
        <f>R11*R18</f>
        <v/>
      </c>
      <c r="S15" s="407">
        <f>S11*S18</f>
        <v/>
      </c>
      <c r="T15" s="407">
        <f>T11*T18</f>
        <v/>
      </c>
      <c r="U15" s="407">
        <f>U11*U18</f>
        <v/>
      </c>
      <c r="V15" s="407">
        <f>V11*V18</f>
        <v/>
      </c>
    </row>
    <row r="16" outlineLevel="1" ht="12.75" customHeight="1">
      <c r="B16" s="371" t="n"/>
      <c r="C16" s="408">
        <f>+$C$12</f>
        <v/>
      </c>
      <c r="D16" s="408" t="n"/>
      <c r="E16" s="408" t="n"/>
      <c r="F16" s="375" t="n"/>
      <c r="G16" s="375" t="n"/>
      <c r="H16" s="375" t="n"/>
      <c r="I16" s="375" t="n"/>
      <c r="J16" s="375" t="n"/>
      <c r="K16" s="375" t="n"/>
      <c r="L16" s="410" t="n">
        <v>94.15000000000001</v>
      </c>
      <c r="M16" s="410" t="n">
        <v>92.62</v>
      </c>
      <c r="N16" s="410" t="n">
        <v>111.8</v>
      </c>
      <c r="O16" s="410" t="n">
        <v>124.4</v>
      </c>
      <c r="P16" s="410" t="n">
        <v>127.57</v>
      </c>
      <c r="Q16" s="375">
        <f>Q15</f>
        <v/>
      </c>
      <c r="R16" s="375">
        <f>R15</f>
        <v/>
      </c>
      <c r="S16" s="375">
        <f>S15</f>
        <v/>
      </c>
      <c r="T16" s="375">
        <f>T15</f>
        <v/>
      </c>
      <c r="U16" s="375">
        <f>U15</f>
        <v/>
      </c>
      <c r="V16" s="375">
        <f>V15</f>
        <v/>
      </c>
      <c r="Y16" s="326" t="inlineStr">
        <is>
          <t>&lt;&lt;&lt; link from financials tab</t>
        </is>
      </c>
      <c r="Z16" s="326" t="n"/>
      <c r="AA16" s="326" t="n"/>
      <c r="AB16" s="326" t="n"/>
      <c r="AC16" s="326" t="n"/>
      <c r="AD16" s="326" t="n"/>
      <c r="AE16" s="326" t="n"/>
      <c r="AF16" s="326" t="n"/>
      <c r="AG16" s="326" t="n"/>
      <c r="AH16" s="326" t="n"/>
    </row>
    <row r="17">
      <c r="B17" s="371" t="n"/>
      <c r="C17" s="411" t="inlineStr">
        <is>
          <t>% growth</t>
        </is>
      </c>
      <c r="D17" s="411" t="n"/>
      <c r="E17" s="412" t="n"/>
      <c r="F17" s="413">
        <f>IF(ISERROR(F15/E15-1),"n.a.",F15/E15-1)</f>
        <v/>
      </c>
      <c r="G17" s="412">
        <f>IF(ISERROR(G15/F15-1),"n.a.",G15/F15-1)</f>
        <v/>
      </c>
      <c r="H17" s="412">
        <f>IF(ISERROR(H15/G15-1),"n.a.",H15/G15-1)</f>
        <v/>
      </c>
      <c r="I17" s="412">
        <f>IF(ISERROR(I15/H15-1),"n.a.",I15/H15-1)</f>
        <v/>
      </c>
      <c r="J17" s="412">
        <f>IF(ISERROR(J15/I15-1),"n.a.",J15/I15-1)</f>
        <v/>
      </c>
      <c r="K17" s="412">
        <f>IF(ISERROR(K15/J15-1),"n.a.",K15/J15-1)</f>
        <v/>
      </c>
      <c r="L17" s="412">
        <f>IF(ISERROR(L15/K15-1),"n.a.",L15/K15-1)</f>
        <v/>
      </c>
      <c r="M17" s="412">
        <f>IF(ISERROR(M15/L15-1),"n.a.",M15/L15-1)</f>
        <v/>
      </c>
      <c r="N17" s="412">
        <f>IF(ISERROR(N15/M15-1),"n.a.",N15/M15-1)</f>
        <v/>
      </c>
      <c r="O17" s="412">
        <f>IF(ISERROR(O15/N15-1),"n.a.",O15/N15-1)</f>
        <v/>
      </c>
      <c r="P17" s="412">
        <f>IF(ISERROR(P15/O15-1),"n.a.",P15/O15-1)</f>
        <v/>
      </c>
      <c r="Q17" s="412">
        <f>IF(ISERROR(Q15/P15-1),"n.a.",Q15/P15-1)</f>
        <v/>
      </c>
      <c r="R17" s="412">
        <f>IF(ISERROR(R15/Q15-1),"n.a.",R15/Q15-1)</f>
        <v/>
      </c>
      <c r="S17" s="412">
        <f>IF(ISERROR(S15/R15-1),"n.a.",S15/R15-1)</f>
        <v/>
      </c>
      <c r="T17" s="412">
        <f>IF(ISERROR(T15/S15-1),"n.a.",T15/S15-1)</f>
        <v/>
      </c>
      <c r="U17" s="412">
        <f>IF(ISERROR(U15/T15-1),"n.a.",U15/T15-1)</f>
        <v/>
      </c>
      <c r="V17" s="412">
        <f>IF(ISERROR(V15/U15-1),"n.a.",V15/U15-1)</f>
        <v/>
      </c>
    </row>
    <row r="18">
      <c r="B18" s="371" t="n"/>
      <c r="C18" s="411" t="inlineStr">
        <is>
          <t>% forecast margin</t>
        </is>
      </c>
      <c r="D18" s="411" t="n"/>
      <c r="E18" s="412" t="n"/>
      <c r="L18" s="413" t="n">
        <v>0.0819244189587811</v>
      </c>
      <c r="M18" s="413" t="n">
        <v>0.07376376798897764</v>
      </c>
      <c r="N18" s="413" t="n">
        <v>0.08257992081782191</v>
      </c>
      <c r="O18" s="413" t="n">
        <v>0.08597216271130216</v>
      </c>
      <c r="P18" s="416" t="n">
        <v>0.08842938542374291</v>
      </c>
      <c r="Q18" s="415">
        <f>Assumptions!$D$28</f>
        <v/>
      </c>
      <c r="R18" s="415">
        <f>Assumptions!$D$28</f>
        <v/>
      </c>
      <c r="S18" s="415">
        <f>Assumptions!$D$28</f>
        <v/>
      </c>
      <c r="T18" s="415">
        <f>Assumptions!$D$28</f>
        <v/>
      </c>
      <c r="U18" s="415">
        <f>Assumptions!$D$28</f>
        <v/>
      </c>
      <c r="V18" s="417">
        <f>Assumptions!$D$28</f>
        <v/>
      </c>
      <c r="Y18" s="326" t="inlineStr">
        <is>
          <t>&lt;&lt;&lt; include growth rates trending to 9% by 2030</t>
        </is>
      </c>
      <c r="Z18" s="326" t="n"/>
      <c r="AA18" s="326" t="n"/>
      <c r="AB18" s="326" t="n"/>
      <c r="AC18" s="326" t="n"/>
      <c r="AD18" s="326" t="n"/>
      <c r="AE18" s="326" t="n"/>
      <c r="AF18" s="326" t="n"/>
      <c r="AG18" s="326" t="n"/>
      <c r="AH18" s="326" t="n"/>
    </row>
    <row r="19">
      <c r="B19" s="411" t="n"/>
      <c r="C19" s="371" t="n"/>
      <c r="D19" s="371" t="n"/>
      <c r="E19" s="371" t="n"/>
      <c r="F19" s="371" t="n"/>
      <c r="G19" s="371" t="n"/>
      <c r="H19" s="371" t="n"/>
      <c r="I19" s="371" t="n"/>
      <c r="J19" s="371" t="n"/>
      <c r="K19" s="371" t="n"/>
      <c r="L19" s="371" t="n"/>
      <c r="M19" s="371" t="n"/>
      <c r="N19" s="371" t="n"/>
      <c r="O19" s="371" t="n"/>
      <c r="P19" s="371" t="n"/>
      <c r="Q19" s="371" t="n"/>
      <c r="R19" s="371" t="n"/>
      <c r="S19" s="371" t="n"/>
      <c r="T19" s="371" t="n"/>
      <c r="U19" s="371" t="n"/>
      <c r="V19" s="371" t="n"/>
    </row>
    <row r="20">
      <c r="B20" s="411" t="n"/>
      <c r="C20" s="405" t="inlineStr">
        <is>
          <t>Depreciation and amortisation</t>
        </is>
      </c>
      <c r="D20" s="405" t="n"/>
      <c r="E20" s="405" t="n"/>
      <c r="F20" s="405">
        <f>-F15+F25</f>
        <v/>
      </c>
      <c r="G20" s="405">
        <f>-G15+G25</f>
        <v/>
      </c>
      <c r="H20" s="405">
        <f>-H15+H25</f>
        <v/>
      </c>
      <c r="I20" s="405">
        <f>-I15+I25</f>
        <v/>
      </c>
      <c r="J20" s="405">
        <f>-J15+J25</f>
        <v/>
      </c>
      <c r="K20" s="405">
        <f>-K15+K25</f>
        <v/>
      </c>
      <c r="L20" s="418" t="n">
        <v>-36.13</v>
      </c>
      <c r="M20" s="418" t="n">
        <v>-40.46</v>
      </c>
      <c r="N20" s="418" t="n">
        <v>-47.2</v>
      </c>
      <c r="O20" s="418" t="n">
        <v>-51.83</v>
      </c>
      <c r="P20" s="418" t="n">
        <v>-54.8</v>
      </c>
      <c r="Q20" s="407">
        <f>-Q11*Assumptions!$D$29</f>
        <v/>
      </c>
      <c r="R20" s="407">
        <f>-R11*Assumptions!$D$29</f>
        <v/>
      </c>
      <c r="S20" s="407">
        <f>-S11*Assumptions!$D$29</f>
        <v/>
      </c>
      <c r="T20" s="407">
        <f>-T11*Assumptions!$D$29</f>
        <v/>
      </c>
      <c r="U20" s="407">
        <f>-U11*Assumptions!$D$29</f>
        <v/>
      </c>
      <c r="V20" s="407">
        <f>-V11*Assumptions!$D$29</f>
        <v/>
      </c>
      <c r="Y20" s="326" t="inlineStr">
        <is>
          <t>&lt;&lt;&lt; link from financials tab</t>
        </is>
      </c>
      <c r="Z20" s="326" t="n"/>
      <c r="AA20" s="326" t="n"/>
      <c r="AB20" s="326" t="n"/>
      <c r="AC20" s="326" t="n"/>
      <c r="AD20" s="326" t="n"/>
      <c r="AE20" s="326" t="n"/>
      <c r="AF20" s="326" t="n"/>
      <c r="AG20" s="326" t="n"/>
      <c r="AH20" s="326" t="n"/>
    </row>
    <row r="21">
      <c r="B21" s="411" t="n"/>
      <c r="C21" s="411" t="inlineStr">
        <is>
          <t>% growth</t>
        </is>
      </c>
      <c r="D21" s="411" t="n"/>
      <c r="E21" s="412" t="n"/>
      <c r="F21" s="412">
        <f>IF(ISERROR(F20/E20-1),"n.a.",F20/E20-1)</f>
        <v/>
      </c>
      <c r="G21" s="412">
        <f>IF(ISERROR(G20/F20-1),"n.a.",G20/F20-1)</f>
        <v/>
      </c>
      <c r="H21" s="412">
        <f>IF(ISERROR(H20/G20-1),"n.a.",H20/G20-1)</f>
        <v/>
      </c>
      <c r="I21" s="412">
        <f>IF(ISERROR(I20/H20-1),"n.a.",I20/H20-1)</f>
        <v/>
      </c>
      <c r="J21" s="412">
        <f>IF(ISERROR(J20/I20-1),"n.a.",J20/I20-1)</f>
        <v/>
      </c>
      <c r="K21" s="412">
        <f>IF(ISERROR(K20/J20-1),"n.a.",K20/J20-1)</f>
        <v/>
      </c>
      <c r="L21" s="412">
        <f>IF(ISERROR(L20/K20-1),"n.a.",L20/K20-1)</f>
        <v/>
      </c>
      <c r="M21" s="412">
        <f>IF(ISERROR(M20/L20-1),"n.a.",M20/L20-1)</f>
        <v/>
      </c>
      <c r="N21" s="412">
        <f>IF(ISERROR(N20/M20-1),"n.a.",N20/M20-1)</f>
        <v/>
      </c>
      <c r="O21" s="412">
        <f>IF(ISERROR(O20/N20-1),"n.a.",O20/N20-1)</f>
        <v/>
      </c>
      <c r="P21" s="412">
        <f>IF(ISERROR(P20/O20-1),"n.a.",P20/O20-1)</f>
        <v/>
      </c>
      <c r="Q21" s="412">
        <f>IF(ISERROR(Q20/P20-1),"n.a.",Q20/P20-1)</f>
        <v/>
      </c>
      <c r="R21" s="412">
        <f>IF(ISERROR(R20/Q20-1),"n.a.",R20/Q20-1)</f>
        <v/>
      </c>
      <c r="S21" s="412">
        <f>IF(ISERROR(S20/R20-1),"n.a.",S20/R20-1)</f>
        <v/>
      </c>
      <c r="T21" s="412">
        <f>IF(ISERROR(T20/S20-1),"n.a.",T20/S20-1)</f>
        <v/>
      </c>
      <c r="U21" s="412">
        <f>IF(ISERROR(U20/T20-1),"n.a.",U20/T20-1)</f>
        <v/>
      </c>
      <c r="V21" s="412">
        <f>IF(ISERROR(V20/U20-1),"n.a.",V20/U20-1)</f>
        <v/>
      </c>
    </row>
    <row r="22">
      <c r="B22" s="411" t="n"/>
      <c r="C22" s="411" t="inlineStr">
        <is>
          <t>% capex</t>
        </is>
      </c>
      <c r="D22" s="411" t="n"/>
      <c r="E22" s="412" t="n"/>
      <c r="F22" s="413">
        <f>IF(ISERROR(F20/F$40),"n.a.",F20/F$40)</f>
        <v/>
      </c>
      <c r="G22" s="413">
        <f>IF(ISERROR(G20/G$40),"n.a.",G20/G$40)</f>
        <v/>
      </c>
      <c r="H22" s="413">
        <f>IF(ISERROR(H20/H$40),"n.a.",H20/H$40)</f>
        <v/>
      </c>
      <c r="I22" s="413">
        <f>IF(ISERROR(I20/I$40),"n.a.",I20/I$40)</f>
        <v/>
      </c>
      <c r="J22" s="413">
        <f>IF(ISERROR(J20/J$40),"n.a.",J20/J$40)</f>
        <v/>
      </c>
      <c r="K22" s="413">
        <f>IF(ISERROR(K20/K$40),"n.a.",K20/K$40)</f>
        <v/>
      </c>
      <c r="L22" s="419" t="n"/>
      <c r="M22" s="419" t="n"/>
      <c r="N22" s="419" t="n"/>
      <c r="O22" s="419" t="n"/>
      <c r="P22" s="419" t="n"/>
      <c r="Q22" s="415" t="n"/>
      <c r="R22" s="415" t="n"/>
      <c r="S22" s="415" t="n"/>
      <c r="T22" s="415" t="n"/>
      <c r="U22" s="415" t="n"/>
      <c r="V22" s="417" t="n">
        <v>0.95</v>
      </c>
      <c r="X22" s="401" t="n"/>
      <c r="Y22" s="326" t="inlineStr">
        <is>
          <t>&lt;&lt;&lt; express % vs capex, and for years 2025 onwards include growth rates trending to 95% by 2030</t>
        </is>
      </c>
      <c r="Z22" s="326" t="n"/>
      <c r="AA22" s="326" t="n"/>
      <c r="AB22" s="326" t="n"/>
      <c r="AC22" s="326" t="n"/>
      <c r="AD22" s="326" t="n"/>
      <c r="AE22" s="326" t="n"/>
      <c r="AF22" s="326" t="n"/>
      <c r="AG22" s="326" t="n"/>
      <c r="AH22" s="326" t="n"/>
    </row>
    <row r="23">
      <c r="B23" s="411" t="n"/>
      <c r="C23" s="411" t="inlineStr">
        <is>
          <t>% margin</t>
        </is>
      </c>
      <c r="D23" s="411" t="n"/>
      <c r="E23" s="412" t="n"/>
      <c r="F23" s="413">
        <f>F20/F11*-1</f>
        <v/>
      </c>
      <c r="G23" s="413">
        <f>G20/G11*-1</f>
        <v/>
      </c>
      <c r="H23" s="413">
        <f>H20/H11*-1</f>
        <v/>
      </c>
      <c r="I23" s="413">
        <f>I20/I11*-1</f>
        <v/>
      </c>
      <c r="J23" s="413">
        <f>J20/J11*-1</f>
        <v/>
      </c>
      <c r="K23" s="413">
        <f>K20/K11*-1</f>
        <v/>
      </c>
      <c r="L23" s="413">
        <f>L20/L11*-1</f>
        <v/>
      </c>
      <c r="M23" s="413">
        <f>M20/M11*-1</f>
        <v/>
      </c>
      <c r="N23" s="413">
        <f>N20/N11*-1</f>
        <v/>
      </c>
      <c r="O23" s="413">
        <f>O20/O11*-1</f>
        <v/>
      </c>
      <c r="P23" s="413">
        <f>P20/P11*-1</f>
        <v/>
      </c>
      <c r="Q23" s="413">
        <f>Q20/Q11*-1</f>
        <v/>
      </c>
      <c r="R23" s="413">
        <f>R20/R11*-1</f>
        <v/>
      </c>
      <c r="S23" s="413">
        <f>S20/S11*-1</f>
        <v/>
      </c>
      <c r="T23" s="413">
        <f>T20/T11*-1</f>
        <v/>
      </c>
      <c r="U23" s="413">
        <f>U20/U11*-1</f>
        <v/>
      </c>
      <c r="V23" s="413">
        <f>V20/V11*-1</f>
        <v/>
      </c>
    </row>
    <row r="24">
      <c r="B24" s="371" t="n"/>
      <c r="C24" s="371" t="n"/>
      <c r="D24" s="371" t="n"/>
      <c r="E24" s="371" t="n"/>
      <c r="F24" s="371" t="n"/>
      <c r="G24" s="371" t="n"/>
      <c r="H24" s="371" t="n"/>
      <c r="I24" s="371" t="n"/>
      <c r="J24" s="371" t="n"/>
      <c r="K24" s="371" t="n"/>
      <c r="L24" s="371" t="n"/>
      <c r="M24" s="371" t="n"/>
      <c r="N24" s="371" t="n"/>
      <c r="O24" s="371" t="n"/>
      <c r="P24" s="371" t="n"/>
      <c r="Q24" s="371" t="n"/>
      <c r="R24" s="371" t="n"/>
      <c r="S24" s="371" t="n"/>
      <c r="T24" s="371" t="n"/>
      <c r="U24" s="371" t="n"/>
      <c r="V24" s="371" t="n"/>
    </row>
    <row r="25">
      <c r="B25" s="371" t="n"/>
      <c r="C25" s="405" t="inlineStr">
        <is>
          <t>EBIT</t>
        </is>
      </c>
      <c r="D25" s="405" t="n"/>
      <c r="E25" s="405" t="n"/>
      <c r="F25" s="406" t="n">
        <v>77.8</v>
      </c>
      <c r="G25" s="406" t="n">
        <v>84.59999999999999</v>
      </c>
      <c r="H25" s="406" t="n">
        <v>84.5</v>
      </c>
      <c r="I25" s="406" t="n">
        <v>77.09999999999999</v>
      </c>
      <c r="J25" s="406" t="n">
        <v>74.59999999999999</v>
      </c>
      <c r="K25" s="406" t="n">
        <v>62.2</v>
      </c>
      <c r="L25" s="407" t="n">
        <v>58.02</v>
      </c>
      <c r="M25" s="407" t="n">
        <v>52.16</v>
      </c>
      <c r="N25" s="407" t="n">
        <v>64.59999999999999</v>
      </c>
      <c r="O25" s="407" t="n">
        <v>72.57000000000001</v>
      </c>
      <c r="P25" s="407" t="n">
        <v>72.77</v>
      </c>
      <c r="Q25" s="407">
        <f>Q15+Q20</f>
        <v/>
      </c>
      <c r="R25" s="407">
        <f>R15+R20</f>
        <v/>
      </c>
      <c r="S25" s="407">
        <f>S15+S20</f>
        <v/>
      </c>
      <c r="T25" s="407">
        <f>T15+T20</f>
        <v/>
      </c>
      <c r="U25" s="407">
        <f>U15+U20</f>
        <v/>
      </c>
      <c r="V25" s="407">
        <f>V15+V20</f>
        <v/>
      </c>
    </row>
    <row r="26">
      <c r="B26" s="371" t="n"/>
      <c r="C26" s="411" t="inlineStr">
        <is>
          <t>% growth</t>
        </is>
      </c>
      <c r="D26" s="411" t="n"/>
      <c r="E26" s="412" t="n"/>
      <c r="F26" s="412">
        <f>IF(ISERROR(F25/E25-1),"n.a.",F25/E25-1)</f>
        <v/>
      </c>
      <c r="G26" s="412">
        <f>IF(ISERROR(G25/F25-1),"n.a.",G25/F25-1)</f>
        <v/>
      </c>
      <c r="H26" s="412">
        <f>IF(ISERROR(H25/G25-1),"n.a.",H25/G25-1)</f>
        <v/>
      </c>
      <c r="I26" s="412">
        <f>IF(ISERROR(I25/H25-1),"n.a.",I25/H25-1)</f>
        <v/>
      </c>
      <c r="J26" s="412">
        <f>IF(ISERROR(J25/I25-1),"n.a.",J25/I25-1)</f>
        <v/>
      </c>
      <c r="K26" s="412">
        <f>IF(ISERROR(K25/J25-1),"n.a.",K25/J25-1)</f>
        <v/>
      </c>
      <c r="L26" s="412">
        <f>IF(ISERROR(L25/K25-1),"n.a.",L25/K25-1)</f>
        <v/>
      </c>
      <c r="M26" s="412">
        <f>IF(ISERROR(M25/L25-1),"n.a.",M25/L25-1)</f>
        <v/>
      </c>
      <c r="N26" s="412">
        <f>IF(ISERROR(N25/M25-1),"n.a.",N25/M25-1)</f>
        <v/>
      </c>
      <c r="O26" s="412">
        <f>IF(ISERROR(O25/N25-1),"n.a.",O25/N25-1)</f>
        <v/>
      </c>
      <c r="P26" s="412">
        <f>IF(ISERROR(P25/O25-1),"n.a.",P25/O25-1)</f>
        <v/>
      </c>
      <c r="Q26" s="412">
        <f>IF(ISERROR(Q25/P25-1),"n.a.",Q25/P25-1)</f>
        <v/>
      </c>
      <c r="R26" s="412">
        <f>IF(ISERROR(R25/Q25-1),"n.a.",R25/Q25-1)</f>
        <v/>
      </c>
      <c r="S26" s="412">
        <f>IF(ISERROR(S25/R25-1),"n.a.",S25/R25-1)</f>
        <v/>
      </c>
      <c r="T26" s="412">
        <f>IF(ISERROR(T25/S25-1),"n.a.",T25/S25-1)</f>
        <v/>
      </c>
      <c r="U26" s="412">
        <f>IF(ISERROR(U25/T25-1),"n.a.",U25/T25-1)</f>
        <v/>
      </c>
      <c r="V26" s="412">
        <f>IF(ISERROR(V25/U25-1),"n.a.",V25/U25-1)</f>
        <v/>
      </c>
    </row>
    <row r="27">
      <c r="B27" s="371" t="n"/>
      <c r="C27" s="411" t="inlineStr">
        <is>
          <t>% margin</t>
        </is>
      </c>
      <c r="D27" s="411" t="n"/>
      <c r="E27" s="412" t="n"/>
      <c r="F27" s="412">
        <f>IF(ISERROR(F25/F$11),"n.a.",F25/F$11)</f>
        <v/>
      </c>
      <c r="G27" s="412">
        <f>IF(ISERROR(G25/G$11),"n.a.",G25/G$11)</f>
        <v/>
      </c>
      <c r="H27" s="412">
        <f>IF(ISERROR(H25/H$11),"n.a.",H25/H$11)</f>
        <v/>
      </c>
      <c r="I27" s="412">
        <f>IF(ISERROR(I25/I$11),"n.a.",I25/I$11)</f>
        <v/>
      </c>
      <c r="J27" s="412">
        <f>IF(ISERROR(J25/J$11),"n.a.",J25/J$11)</f>
        <v/>
      </c>
      <c r="K27" s="412">
        <f>IF(ISERROR(K25/K$11),"n.a.",K25/K$11)</f>
        <v/>
      </c>
      <c r="L27" s="412">
        <f>IF(ISERROR(L25/L$11),"n.a.",L25/L$11)</f>
        <v/>
      </c>
      <c r="M27" s="412">
        <f>IF(ISERROR(M25/M$11),"n.a.",M25/M$11)</f>
        <v/>
      </c>
      <c r="N27" s="412">
        <f>IF(ISERROR(N25/N$11),"n.a.",N25/N$11)</f>
        <v/>
      </c>
      <c r="O27" s="412">
        <f>IF(ISERROR(O25/O$11),"n.a.",O25/O$11)</f>
        <v/>
      </c>
      <c r="P27" s="412">
        <f>IF(ISERROR(P25/P$11),"n.a.",P25/P$11)</f>
        <v/>
      </c>
      <c r="Q27" s="412">
        <f>IF(ISERROR(Q25/Q$11),"n.a.",Q25/Q$11)</f>
        <v/>
      </c>
      <c r="R27" s="412">
        <f>IF(ISERROR(R25/R$11),"n.a.",R25/R$11)</f>
        <v/>
      </c>
      <c r="S27" s="412">
        <f>IF(ISERROR(S25/S$11),"n.a.",S25/S$11)</f>
        <v/>
      </c>
      <c r="T27" s="412">
        <f>IF(ISERROR(T25/T$11),"n.a.",T25/T$11)</f>
        <v/>
      </c>
      <c r="U27" s="412">
        <f>IF(ISERROR(U25/U$11),"n.a.",U25/U$11)</f>
        <v/>
      </c>
      <c r="V27" s="412">
        <f>IF(ISERROR(V25/V$11),"n.a.",V25/V$11)</f>
        <v/>
      </c>
    </row>
    <row r="28">
      <c r="B28" s="371" t="n"/>
      <c r="D28" s="371" t="n"/>
      <c r="E28" s="371" t="n"/>
      <c r="F28" s="371" t="n"/>
      <c r="G28" s="371" t="n"/>
      <c r="H28" s="371" t="n"/>
      <c r="I28" s="371" t="n"/>
      <c r="J28" s="371" t="n"/>
      <c r="K28" s="371" t="n"/>
      <c r="L28" s="371" t="n"/>
      <c r="M28" s="371" t="n"/>
      <c r="N28" s="371" t="n"/>
      <c r="O28" s="371" t="n"/>
      <c r="P28" s="371" t="n"/>
      <c r="Q28" s="371" t="n"/>
      <c r="R28" s="371" t="n"/>
      <c r="S28" s="371" t="n"/>
      <c r="T28" s="371" t="n"/>
      <c r="U28" s="371" t="n"/>
      <c r="V28" s="371" t="n"/>
    </row>
    <row r="29" ht="12.75" customHeight="1">
      <c r="B29" s="371" t="n"/>
      <c r="C29" s="411" t="inlineStr">
        <is>
          <t>% tax rate</t>
        </is>
      </c>
      <c r="D29" s="411" t="n"/>
      <c r="E29" s="412" t="n"/>
      <c r="F29" s="420" t="n"/>
      <c r="G29" s="420" t="n"/>
      <c r="H29" s="420" t="n"/>
      <c r="I29" s="420" t="n"/>
      <c r="J29" s="420" t="n"/>
      <c r="K29" s="414" t="n">
        <v>0.19</v>
      </c>
      <c r="L29" s="414" t="n">
        <v>0.19</v>
      </c>
      <c r="M29" s="414" t="n">
        <v>0.19</v>
      </c>
      <c r="N29" s="415" t="n">
        <v>0.19</v>
      </c>
      <c r="O29" s="415" t="n">
        <v>0.19</v>
      </c>
      <c r="P29" s="415" t="n">
        <v>0.19</v>
      </c>
      <c r="Q29" s="415">
        <f>Assumptions!$D$32</f>
        <v/>
      </c>
      <c r="R29" s="415">
        <f>Assumptions!$D$32</f>
        <v/>
      </c>
      <c r="S29" s="415">
        <f>Assumptions!$D$32</f>
        <v/>
      </c>
      <c r="T29" s="415">
        <f>Assumptions!$D$32</f>
        <v/>
      </c>
      <c r="U29" s="415">
        <f>Assumptions!$D$32</f>
        <v/>
      </c>
      <c r="V29" s="415">
        <f>Assumptions!$D$32</f>
        <v/>
      </c>
      <c r="Y29" s="326" t="inlineStr">
        <is>
          <t>&lt;&lt;&lt; assume tax rate same as 2021</t>
        </is>
      </c>
      <c r="Z29" s="326" t="n"/>
      <c r="AA29" s="326" t="n"/>
      <c r="AB29" s="326" t="n"/>
      <c r="AC29" s="326" t="n"/>
      <c r="AD29" s="326" t="n"/>
      <c r="AE29" s="326" t="n"/>
      <c r="AF29" s="326" t="n"/>
      <c r="AG29" s="326" t="n"/>
      <c r="AH29" s="326" t="n"/>
    </row>
    <row r="30" ht="12.75" customHeight="1">
      <c r="B30" s="371" t="n"/>
      <c r="C30" s="411" t="n"/>
      <c r="D30" s="411" t="n"/>
      <c r="E30" s="412" t="n"/>
      <c r="F30" s="420" t="n"/>
      <c r="G30" s="420" t="n"/>
      <c r="H30" s="420" t="n"/>
      <c r="I30" s="420" t="n"/>
      <c r="J30" s="420" t="n"/>
      <c r="K30" s="421" t="n"/>
      <c r="L30" s="421" t="n"/>
      <c r="M30" s="421" t="n"/>
      <c r="N30" s="422" t="n"/>
      <c r="O30" s="422" t="n"/>
      <c r="P30" s="422" t="n"/>
      <c r="Q30" s="422" t="n"/>
      <c r="R30" s="422" t="n"/>
      <c r="S30" s="422" t="n"/>
      <c r="T30" s="422" t="n"/>
      <c r="U30" s="422" t="n"/>
      <c r="V30" s="422" t="n"/>
    </row>
    <row r="31">
      <c r="B31" s="371" t="inlineStr">
        <is>
          <t>x</t>
        </is>
      </c>
      <c r="C31" s="405" t="inlineStr">
        <is>
          <t>Net income</t>
        </is>
      </c>
      <c r="D31" s="405" t="n"/>
      <c r="E31" s="405" t="n"/>
      <c r="F31" s="406" t="n">
        <v>55.5</v>
      </c>
      <c r="G31" s="406" t="n">
        <v>65.8</v>
      </c>
      <c r="H31" s="406" t="n">
        <v>64.90000000000001</v>
      </c>
      <c r="I31" s="406" t="n">
        <v>59.5</v>
      </c>
      <c r="J31" s="406" t="n">
        <v>58.4</v>
      </c>
      <c r="K31" s="406" t="n">
        <v>48.3</v>
      </c>
      <c r="L31" s="423">
        <f>+('Company fin forecasts'!B13+'Company fin forecasts'!I13)*(1-L29)</f>
        <v/>
      </c>
      <c r="M31" s="423">
        <f>+('Company fin forecasts'!C13+'Company fin forecasts'!J13)*(1-M29)</f>
        <v/>
      </c>
      <c r="N31" s="423">
        <f>+('Company fin forecasts'!D13+'Company fin forecasts'!K13)*(1-N29)</f>
        <v/>
      </c>
      <c r="O31" s="423">
        <f>+('Company fin forecasts'!E13+'Company fin forecasts'!L13)*(1-O29)</f>
        <v/>
      </c>
      <c r="P31" s="423">
        <f>+('Company fin forecasts'!F13+'Company fin forecasts'!M13)*(1-P29)</f>
        <v/>
      </c>
      <c r="Q31" s="371">
        <f>Q25*(1-Q29)</f>
        <v/>
      </c>
      <c r="R31" s="371">
        <f>R25*(1-R29)</f>
        <v/>
      </c>
      <c r="S31" s="371">
        <f>S25*(1-S29)</f>
        <v/>
      </c>
      <c r="T31" s="371">
        <f>T25*(1-T29)</f>
        <v/>
      </c>
      <c r="U31" s="371">
        <f>U25*(1-U29)</f>
        <v/>
      </c>
      <c r="V31" s="371">
        <f>V25*(1-V29)</f>
        <v/>
      </c>
    </row>
    <row r="32">
      <c r="B32" s="371" t="n"/>
      <c r="C32" s="411" t="inlineStr">
        <is>
          <t>% growth</t>
        </is>
      </c>
      <c r="D32" s="411" t="n"/>
      <c r="E32" s="412" t="n"/>
      <c r="F32" s="412">
        <f>IF(ISERROR(F31/E31-1),"n.a.",F31/E31-1)</f>
        <v/>
      </c>
      <c r="G32" s="412">
        <f>IF(ISERROR(G31/F31-1),"n.a.",G31/F31-1)</f>
        <v/>
      </c>
      <c r="H32" s="412">
        <f>IF(ISERROR(H31/G31-1),"n.a.",H31/G31-1)</f>
        <v/>
      </c>
      <c r="I32" s="412">
        <f>IF(ISERROR(I31/H31-1),"n.a.",I31/H31-1)</f>
        <v/>
      </c>
      <c r="J32" s="412">
        <f>IF(ISERROR(J31/I31-1),"n.a.",J31/I31-1)</f>
        <v/>
      </c>
      <c r="K32" s="412">
        <f>IF(ISERROR(K31/J31-1),"n.a.",K31/J31-1)</f>
        <v/>
      </c>
      <c r="L32" s="412">
        <f>IF(ISERROR(L31/K31-1),"n.a.",L31/K31-1)</f>
        <v/>
      </c>
      <c r="M32" s="412">
        <f>IF(ISERROR(M31/L31-1),"n.a.",M31/L31-1)</f>
        <v/>
      </c>
      <c r="N32" s="412">
        <f>IF(ISERROR(N31/M31-1),"n.a.",N31/M31-1)</f>
        <v/>
      </c>
      <c r="O32" s="412">
        <f>IF(ISERROR(O31/N31-1),"n.a.",O31/N31-1)</f>
        <v/>
      </c>
      <c r="P32" s="412">
        <f>IF(ISERROR(P31/O31-1),"n.a.",P31/O31-1)</f>
        <v/>
      </c>
      <c r="Q32" s="324" t="n"/>
      <c r="R32" s="324" t="n"/>
      <c r="S32" s="324" t="n"/>
      <c r="T32" s="371" t="n"/>
      <c r="U32" s="371" t="n"/>
      <c r="V32" s="371" t="n"/>
    </row>
    <row r="33">
      <c r="B33" s="371" t="n"/>
      <c r="C33" s="411" t="inlineStr">
        <is>
          <t>% margin</t>
        </is>
      </c>
      <c r="D33" s="411" t="n"/>
      <c r="E33" s="412" t="n"/>
      <c r="F33" s="412">
        <f>IF(ISERROR(F31/F$11),"n.a.",F31/F$11)</f>
        <v/>
      </c>
      <c r="G33" s="412">
        <f>IF(ISERROR(G31/G$11),"n.a.",G31/G$11)</f>
        <v/>
      </c>
      <c r="H33" s="412">
        <f>IF(ISERROR(H31/H$11),"n.a.",H31/H$11)</f>
        <v/>
      </c>
      <c r="I33" s="412">
        <f>IF(ISERROR(I31/I$11),"n.a.",I31/I$11)</f>
        <v/>
      </c>
      <c r="J33" s="412">
        <f>IF(ISERROR(J31/J$11),"n.a.",J31/J$11)</f>
        <v/>
      </c>
      <c r="K33" s="412">
        <f>IF(ISERROR(K31/K$11),"n.a.",K31/K$11)</f>
        <v/>
      </c>
      <c r="L33" s="412">
        <f>IF(ISERROR(L31/L$11),"n.a.",L31/L$11)</f>
        <v/>
      </c>
      <c r="M33" s="412">
        <f>IF(ISERROR(M31/M$11),"n.a.",M31/M$11)</f>
        <v/>
      </c>
      <c r="N33" s="412">
        <f>IF(ISERROR(N31/N$11),"n.a.",N31/N$11)</f>
        <v/>
      </c>
      <c r="O33" s="412">
        <f>IF(ISERROR(O31/O$11),"n.a.",O31/O$11)</f>
        <v/>
      </c>
      <c r="P33" s="412">
        <f>IF(ISERROR(P31/P$11),"n.a.",P31/P$11)</f>
        <v/>
      </c>
      <c r="Q33" s="371" t="n"/>
      <c r="R33" s="371" t="n"/>
      <c r="S33" s="371" t="n"/>
      <c r="T33" s="371" t="n"/>
      <c r="U33" s="371" t="n"/>
      <c r="V33" s="371" t="n"/>
    </row>
    <row r="34">
      <c r="B34" s="371" t="n"/>
      <c r="C34" s="408" t="n"/>
      <c r="D34" s="408" t="n"/>
      <c r="E34" s="408" t="n"/>
      <c r="F34" s="409" t="n"/>
      <c r="G34" s="409" t="n"/>
      <c r="H34" s="409" t="n"/>
      <c r="I34" s="409" t="n"/>
      <c r="J34" s="409" t="n"/>
      <c r="K34" s="409" t="n"/>
      <c r="L34" s="375" t="n"/>
      <c r="M34" s="375" t="n"/>
      <c r="N34" s="375" t="n"/>
      <c r="O34" s="375" t="n"/>
      <c r="P34" s="375" t="n"/>
      <c r="Q34" s="375" t="n"/>
      <c r="R34" s="375" t="n"/>
      <c r="S34" s="375" t="n"/>
      <c r="T34" s="375" t="n"/>
      <c r="U34" s="375" t="n"/>
      <c r="V34" s="375" t="n"/>
    </row>
    <row r="35">
      <c r="B35" s="371" t="n"/>
      <c r="C35" s="408" t="n"/>
      <c r="D35" s="408" t="n"/>
      <c r="E35" s="408" t="n"/>
      <c r="F35" s="409" t="n"/>
      <c r="G35" s="409" t="n"/>
      <c r="H35" s="409" t="n"/>
      <c r="I35" s="409" t="n"/>
      <c r="J35" s="409" t="n"/>
      <c r="K35" s="409" t="n"/>
      <c r="L35" s="375" t="n"/>
      <c r="M35" s="375" t="n"/>
      <c r="N35" s="375" t="n"/>
      <c r="O35" s="375" t="n"/>
      <c r="P35" s="375" t="n"/>
      <c r="Q35" s="375" t="n"/>
      <c r="R35" s="375" t="n"/>
      <c r="S35" s="375" t="n"/>
      <c r="T35" s="375" t="n"/>
      <c r="U35" s="375" t="n"/>
      <c r="V35" s="375" t="n"/>
    </row>
    <row r="36">
      <c r="B36" s="371" t="n"/>
      <c r="C36" s="408" t="n"/>
      <c r="D36" s="408" t="n"/>
      <c r="E36" s="408" t="n"/>
      <c r="F36" s="409" t="n"/>
      <c r="G36" s="409" t="n"/>
      <c r="H36" s="409" t="n"/>
      <c r="I36" s="409" t="n"/>
      <c r="J36" s="409" t="n"/>
      <c r="K36" s="409" t="n"/>
      <c r="L36" s="375" t="n"/>
      <c r="M36" s="375" t="n"/>
      <c r="N36" s="375" t="n"/>
      <c r="O36" s="375" t="n"/>
      <c r="P36" s="375" t="n"/>
      <c r="Q36" s="375" t="n"/>
      <c r="R36" s="375" t="n"/>
      <c r="S36" s="375" t="n"/>
      <c r="T36" s="375" t="n"/>
      <c r="U36" s="375" t="n"/>
      <c r="V36" s="375" t="n"/>
    </row>
    <row r="37" ht="12.75" customHeight="1">
      <c r="B37" s="371" t="n"/>
      <c r="C37" s="371" t="n"/>
      <c r="D37" s="371" t="n"/>
      <c r="E37" s="371" t="n"/>
      <c r="F37" s="108" t="n"/>
      <c r="G37" s="108" t="n"/>
      <c r="H37" s="108" t="n"/>
      <c r="I37" s="108" t="n"/>
      <c r="J37" s="108" t="n"/>
      <c r="K37" s="108" t="n"/>
      <c r="L37" s="371" t="n"/>
      <c r="M37" s="371" t="n"/>
      <c r="N37" s="371" t="n"/>
      <c r="O37" s="371" t="n"/>
      <c r="P37" s="371" t="n"/>
      <c r="S37" s="371" t="n"/>
      <c r="T37" s="371" t="n"/>
      <c r="U37" s="371" t="n"/>
      <c r="V37" s="371" t="n"/>
    </row>
    <row r="38">
      <c r="B38" s="371" t="n"/>
      <c r="C38" s="393" t="inlineStr">
        <is>
          <t>Cashflow statement</t>
        </is>
      </c>
      <c r="D38" s="394" t="n"/>
      <c r="E38" s="18" t="n"/>
      <c r="F38" s="395" t="n"/>
      <c r="G38" s="395" t="n"/>
      <c r="H38" s="395" t="n"/>
      <c r="I38" s="395" t="n"/>
      <c r="J38" s="395" t="n"/>
      <c r="K38" s="395" t="n"/>
      <c r="L38" s="396" t="n"/>
      <c r="M38" s="396" t="n"/>
      <c r="N38" s="397" t="n"/>
      <c r="O38" s="396" t="n"/>
      <c r="P38" s="396" t="n"/>
      <c r="Q38" s="396" t="n"/>
      <c r="R38" s="396" t="n"/>
      <c r="S38" s="424" t="n"/>
      <c r="T38" s="396" t="n"/>
      <c r="U38" s="396" t="n"/>
      <c r="V38" s="398" t="n"/>
      <c r="W38" s="412" t="n"/>
    </row>
    <row r="39">
      <c r="B39" s="371" t="n"/>
      <c r="C39" s="371" t="n"/>
      <c r="D39" s="371" t="n"/>
      <c r="E39" s="371" t="n"/>
      <c r="F39" s="371" t="n"/>
      <c r="G39" s="371" t="n"/>
      <c r="H39" s="371" t="n"/>
      <c r="I39" s="371" t="n"/>
      <c r="J39" s="371" t="n"/>
      <c r="K39" s="371" t="n"/>
      <c r="L39" s="371" t="n"/>
      <c r="M39" s="371" t="n"/>
      <c r="N39" s="371" t="n"/>
      <c r="O39" s="371" t="n"/>
      <c r="P39" s="371" t="n"/>
      <c r="Q39" s="371" t="n"/>
      <c r="R39" s="371" t="n"/>
      <c r="S39" s="371" t="n"/>
      <c r="T39" s="371" t="n"/>
      <c r="U39" s="371" t="n"/>
      <c r="V39" s="371" t="n"/>
      <c r="W39" s="412" t="n"/>
    </row>
    <row r="40">
      <c r="B40" s="371" t="n"/>
      <c r="C40" s="405" t="inlineStr">
        <is>
          <t>Capex</t>
        </is>
      </c>
      <c r="D40" s="405" t="n"/>
      <c r="E40" s="405" t="n"/>
      <c r="F40" s="406" t="n">
        <v>-30.4</v>
      </c>
      <c r="G40" s="406" t="n">
        <v>-37.5</v>
      </c>
      <c r="H40" s="406" t="n">
        <v>-40.3</v>
      </c>
      <c r="I40" s="406" t="n">
        <v>-36.1</v>
      </c>
      <c r="J40" s="406" t="n">
        <v>-37.3</v>
      </c>
      <c r="K40" s="406" t="n">
        <v>-31</v>
      </c>
      <c r="L40" s="418" t="n">
        <v>-36</v>
      </c>
      <c r="M40" s="418" t="n">
        <v>-51</v>
      </c>
      <c r="N40" s="418" t="n">
        <v>-50</v>
      </c>
      <c r="O40" s="418" t="n">
        <v>-50</v>
      </c>
      <c r="P40" s="418" t="n">
        <v>-50</v>
      </c>
      <c r="Q40" s="425">
        <f>-Q11*Assumptions!$D$30</f>
        <v/>
      </c>
      <c r="R40" s="425">
        <f>-R11*Assumptions!$D$30</f>
        <v/>
      </c>
      <c r="S40" s="425">
        <f>-S11*Assumptions!$D$30</f>
        <v/>
      </c>
      <c r="T40" s="425">
        <f>-T11*Assumptions!$D$30</f>
        <v/>
      </c>
      <c r="U40" s="425">
        <f>-U11*Assumptions!$D$30</f>
        <v/>
      </c>
      <c r="V40" s="425">
        <f>-V11*Assumptions!$D$30</f>
        <v/>
      </c>
      <c r="Y40" s="326" t="inlineStr">
        <is>
          <t>&lt;&lt;&lt; link from financials tab and for 2025 onwards assume same as last year's forecast given by the company</t>
        </is>
      </c>
      <c r="Z40" s="326" t="n"/>
      <c r="AA40" s="326" t="n"/>
      <c r="AB40" s="326" t="n"/>
      <c r="AC40" s="326" t="n"/>
      <c r="AD40" s="326" t="n"/>
      <c r="AE40" s="326" t="n"/>
      <c r="AF40" s="326" t="n"/>
      <c r="AG40" s="326" t="n"/>
      <c r="AH40" s="326" t="n"/>
    </row>
    <row r="41">
      <c r="B41" s="371" t="n"/>
      <c r="C41" s="411" t="inlineStr">
        <is>
          <t>% growth</t>
        </is>
      </c>
      <c r="D41" s="411" t="n"/>
      <c r="E41" s="412" t="n"/>
      <c r="F41" s="412">
        <f>IF(ISERROR(F40/E40-1),"n.a.",F40/E40-1)</f>
        <v/>
      </c>
      <c r="G41" s="412">
        <f>IF(ISERROR(G40/F40-1),"n.a.",G40/F40-1)</f>
        <v/>
      </c>
      <c r="H41" s="412">
        <f>IF(ISERROR(H40/G40-1),"n.a.",H40/G40-1)</f>
        <v/>
      </c>
      <c r="I41" s="412">
        <f>IF(ISERROR(I40/H40-1),"n.a.",I40/H40-1)</f>
        <v/>
      </c>
      <c r="J41" s="412">
        <f>IF(ISERROR(J40/I40-1),"n.a.",J40/I40-1)</f>
        <v/>
      </c>
      <c r="K41" s="412">
        <f>IF(ISERROR(K40/J40-1),"n.a.",K40/J40-1)</f>
        <v/>
      </c>
      <c r="L41" s="412">
        <f>IF(ISERROR(L40/K40-1),"n.a.",L40/K40-1)</f>
        <v/>
      </c>
      <c r="M41" s="412">
        <f>IF(ISERROR(M40/L40-1),"n.a.",M40/L40-1)</f>
        <v/>
      </c>
      <c r="N41" s="412">
        <f>IF(ISERROR(N40/M40-1),"n.a.",N40/M40-1)</f>
        <v/>
      </c>
      <c r="O41" s="412">
        <f>IF(ISERROR(O40/N40-1),"n.a.",O40/N40-1)</f>
        <v/>
      </c>
      <c r="P41" s="412">
        <f>IF(ISERROR(P40/O40-1),"n.a.",P40/O40-1)</f>
        <v/>
      </c>
      <c r="Q41" s="412">
        <f>IF(ISERROR(Q40/P40-1),"n.a.",Q40/P40-1)</f>
        <v/>
      </c>
      <c r="R41" s="412">
        <f>IF(ISERROR(R40/Q40-1),"n.a.",R40/Q40-1)</f>
        <v/>
      </c>
      <c r="S41" s="412">
        <f>IF(ISERROR(S40/R40-1),"n.a.",S40/R40-1)</f>
        <v/>
      </c>
      <c r="T41" s="412">
        <f>IF(ISERROR(T40/S40-1),"n.a.",T40/S40-1)</f>
        <v/>
      </c>
      <c r="U41" s="412">
        <f>IF(ISERROR(U40/T40-1),"n.a.",U40/T40-1)</f>
        <v/>
      </c>
      <c r="V41" s="412">
        <f>IF(ISERROR(V40/U40-1),"n.a.",V40/U40-1)</f>
        <v/>
      </c>
    </row>
    <row r="42" ht="12.75" customHeight="1">
      <c r="B42" s="411" t="n"/>
      <c r="C42" s="411" t="inlineStr">
        <is>
          <t>% sales</t>
        </is>
      </c>
      <c r="D42" s="411" t="n"/>
      <c r="E42" s="412" t="n"/>
      <c r="F42" s="413">
        <f>IF(ISERROR(-F40/F$11),"n.a.",-F40/F$11)</f>
        <v/>
      </c>
      <c r="G42" s="413">
        <f>IF(ISERROR(-G40/G$11),"n.a.",-G40/G$11)</f>
        <v/>
      </c>
      <c r="H42" s="413">
        <f>IF(ISERROR(-H40/H$11),"n.a.",-H40/H$11)</f>
        <v/>
      </c>
      <c r="I42" s="413">
        <f>IF(ISERROR(-I40/I$11),"n.a.",-I40/I$11)</f>
        <v/>
      </c>
      <c r="J42" s="413">
        <f>IF(ISERROR(-J40/J$11),"n.a.",-J40/J$11)</f>
        <v/>
      </c>
      <c r="K42" s="413">
        <f>IF(ISERROR(-K40/K$11),"n.a.",-K40/K$11)</f>
        <v/>
      </c>
      <c r="L42" s="413">
        <f>IF(ISERROR(-L40/L$11),"n.a.",-L40/L$11)</f>
        <v/>
      </c>
      <c r="M42" s="413">
        <f>IF(ISERROR(-M40/M$11),"n.a.",-M40/M$11)</f>
        <v/>
      </c>
      <c r="N42" s="413">
        <f>IF(ISERROR(-N40/N$11),"n.a.",-N40/N$11)</f>
        <v/>
      </c>
      <c r="O42" s="413">
        <f>IF(ISERROR(-O40/O$11),"n.a.",-O40/O$11)</f>
        <v/>
      </c>
      <c r="P42" s="413">
        <f>IF(ISERROR(-P40/P$11),"n.a.",-P40/P$11)</f>
        <v/>
      </c>
      <c r="Q42" s="413">
        <f>Assumptions!$D$30</f>
        <v/>
      </c>
      <c r="R42" s="413">
        <f>Assumptions!$D$30</f>
        <v/>
      </c>
      <c r="S42" s="413">
        <f>Assumptions!$D$30</f>
        <v/>
      </c>
      <c r="T42" s="413">
        <f>Assumptions!$D$30</f>
        <v/>
      </c>
      <c r="U42" s="413">
        <f>Assumptions!$D$30</f>
        <v/>
      </c>
      <c r="V42" s="413">
        <f>Assumptions!$D$30</f>
        <v/>
      </c>
    </row>
    <row r="43">
      <c r="B43" s="411" t="n"/>
      <c r="C43" s="411" t="inlineStr">
        <is>
          <t>% Cash conversion</t>
        </is>
      </c>
      <c r="D43" s="411" t="n"/>
      <c r="E43" s="412" t="n"/>
      <c r="F43" s="412">
        <f>(F15+F40)/F15</f>
        <v/>
      </c>
      <c r="G43" s="412">
        <f>(G15+G40)/G15</f>
        <v/>
      </c>
      <c r="H43" s="412">
        <f>(H15+H40)/H15</f>
        <v/>
      </c>
      <c r="I43" s="412">
        <f>(I15+I40)/I15</f>
        <v/>
      </c>
      <c r="J43" s="412">
        <f>(J15+J40)/J15</f>
        <v/>
      </c>
      <c r="K43" s="412">
        <f>(K15+K40)/K15</f>
        <v/>
      </c>
      <c r="L43" s="412">
        <f>(L15+L40)/L15</f>
        <v/>
      </c>
      <c r="M43" s="412">
        <f>(M15+M40)/M15</f>
        <v/>
      </c>
      <c r="N43" s="412">
        <f>(N15+N40)/N15</f>
        <v/>
      </c>
      <c r="O43" s="412">
        <f>(O15+O40)/O15</f>
        <v/>
      </c>
      <c r="P43" s="412">
        <f>(P15+P40)/P15</f>
        <v/>
      </c>
      <c r="Q43" s="412">
        <f>(Q15+Q40)/Q15</f>
        <v/>
      </c>
      <c r="R43" s="412">
        <f>(R15+R40)/R15</f>
        <v/>
      </c>
      <c r="S43" s="412">
        <f>(S15+S40)/S15</f>
        <v/>
      </c>
      <c r="T43" s="412">
        <f>(T15+T40)/T15</f>
        <v/>
      </c>
      <c r="U43" s="412">
        <f>(U15+U40)/U15</f>
        <v/>
      </c>
      <c r="V43" s="412">
        <f>(V15+V40)/V15</f>
        <v/>
      </c>
    </row>
    <row r="44">
      <c r="C44" s="371" t="n"/>
      <c r="D44" s="371" t="n"/>
      <c r="E44" s="371" t="n"/>
      <c r="F44" s="371" t="n"/>
      <c r="G44" s="371" t="n"/>
      <c r="H44" s="371" t="n"/>
      <c r="I44" s="371" t="n"/>
      <c r="J44" s="371" t="n"/>
      <c r="K44" s="371" t="n"/>
      <c r="L44" s="371" t="n"/>
      <c r="M44" s="371" t="n"/>
      <c r="N44" s="371" t="n"/>
      <c r="O44" s="371" t="n"/>
      <c r="P44" s="371" t="n"/>
      <c r="Q44" s="371" t="n"/>
      <c r="R44" s="371" t="n"/>
      <c r="S44" s="371" t="n"/>
      <c r="T44" s="371" t="n"/>
      <c r="U44" s="371" t="n"/>
      <c r="V44" s="371" t="n"/>
    </row>
    <row r="45">
      <c r="C45" s="405" t="inlineStr">
        <is>
          <t>Change in Working Capital</t>
        </is>
      </c>
      <c r="D45" s="405" t="n"/>
      <c r="E45" s="405" t="n"/>
      <c r="F45" s="406">
        <f>-17+1+10.7</f>
        <v/>
      </c>
      <c r="G45" s="406">
        <f>0.9-3+27.2</f>
        <v/>
      </c>
      <c r="H45" s="406">
        <f>-8.6-4.9+2.3</f>
        <v/>
      </c>
      <c r="I45" s="406">
        <f>-33.2+2.3+14.6</f>
        <v/>
      </c>
      <c r="J45" s="406">
        <f>-4.4+2.4-10.6</f>
        <v/>
      </c>
      <c r="K45" s="406">
        <f>11.9-3.1-19.2</f>
        <v/>
      </c>
      <c r="L45" s="418" t="n">
        <v>-17.23845</v>
      </c>
      <c r="M45" s="418" t="n">
        <v>-18.83445</v>
      </c>
      <c r="N45" s="418" t="n">
        <v>-20.3076</v>
      </c>
      <c r="O45" s="418" t="n">
        <v>-21.7047</v>
      </c>
      <c r="P45" s="418" t="n">
        <v>-21.6393</v>
      </c>
      <c r="Q45" s="407">
        <f>Q47*Q11</f>
        <v/>
      </c>
      <c r="R45" s="407">
        <f>R47*R11</f>
        <v/>
      </c>
      <c r="S45" s="407">
        <f>S47*S11</f>
        <v/>
      </c>
      <c r="T45" s="407">
        <f>T47*T11</f>
        <v/>
      </c>
      <c r="U45" s="407">
        <f>U47*U11</f>
        <v/>
      </c>
      <c r="V45" s="407">
        <f>V47*V11</f>
        <v/>
      </c>
      <c r="Y45" s="326" t="inlineStr">
        <is>
          <t>&lt;&lt;&lt; link from financials tab and for 2025 onwards express change in working capital as % sales</t>
        </is>
      </c>
      <c r="Z45" s="326" t="n"/>
      <c r="AA45" s="326" t="n"/>
      <c r="AB45" s="326" t="n"/>
      <c r="AC45" s="326" t="n"/>
      <c r="AD45" s="326" t="n"/>
      <c r="AE45" s="326" t="n"/>
      <c r="AF45" s="326" t="n"/>
      <c r="AG45" s="326" t="n"/>
      <c r="AH45" s="326" t="n"/>
    </row>
    <row r="46">
      <c r="C46" s="411" t="inlineStr">
        <is>
          <t>% growth</t>
        </is>
      </c>
      <c r="D46" s="408" t="n"/>
      <c r="E46" s="408" t="n"/>
      <c r="F46" s="412">
        <f>IF(ISERROR(F45/E45-1),"n.a.",F45/E45-1)</f>
        <v/>
      </c>
      <c r="G46" s="412">
        <f>IF(ISERROR(G45/F45-1),"n.a.",G45/F45-1)</f>
        <v/>
      </c>
      <c r="H46" s="412">
        <f>IF(ISERROR(H45/G45-1),"n.a.",H45/G45-1)</f>
        <v/>
      </c>
      <c r="I46" s="412">
        <f>IF(ISERROR(I45/H45-1),"n.a.",I45/H45-1)</f>
        <v/>
      </c>
      <c r="J46" s="412">
        <f>IF(ISERROR(J45/I45-1),"n.a.",J45/I45-1)</f>
        <v/>
      </c>
      <c r="K46" s="412">
        <f>IF(ISERROR(K45/J45-1),"n.a.",K45/J45-1)</f>
        <v/>
      </c>
      <c r="L46" s="412">
        <f>IF(ISERROR(L45/K45-1),"n.a.",L45/K45-1)</f>
        <v/>
      </c>
      <c r="M46" s="412">
        <f>IF(ISERROR(M45/L45-1),"n.a.",M45/L45-1)</f>
        <v/>
      </c>
      <c r="N46" s="412">
        <f>IF(ISERROR(N45/M45-1),"n.a.",N45/M45-1)</f>
        <v/>
      </c>
      <c r="O46" s="412">
        <f>IF(ISERROR(O45/N45-1),"n.a.",O45/N45-1)</f>
        <v/>
      </c>
      <c r="P46" s="412">
        <f>IF(ISERROR(P45/O45-1),"n.a.",P45/O45-1)</f>
        <v/>
      </c>
      <c r="Q46" s="412">
        <f>IF(ISERROR(Q45/P45-1),"n.a.",Q45/P45-1)</f>
        <v/>
      </c>
      <c r="R46" s="412">
        <f>IF(ISERROR(R45/Q45-1),"n.a.",R45/Q45-1)</f>
        <v/>
      </c>
      <c r="S46" s="412">
        <f>IF(ISERROR(S45/R45-1),"n.a.",S45/R45-1)</f>
        <v/>
      </c>
      <c r="T46" s="412">
        <f>IF(ISERROR(T45/S45-1),"n.a.",T45/S45-1)</f>
        <v/>
      </c>
      <c r="U46" s="412">
        <f>IF(ISERROR(U45/T45-1),"n.a.",U45/T45-1)</f>
        <v/>
      </c>
      <c r="V46" s="412">
        <f>IF(ISERROR(V45/U45-1),"n.a.",V45/U45-1)</f>
        <v/>
      </c>
    </row>
    <row r="47">
      <c r="C47" s="411" t="inlineStr">
        <is>
          <t>% sales</t>
        </is>
      </c>
      <c r="D47" s="411" t="n"/>
      <c r="E47" s="412" t="n"/>
      <c r="F47" s="412">
        <f>IF(ISERROR(F45/F$11),"n.a.",F45/F$11)</f>
        <v/>
      </c>
      <c r="G47" s="412">
        <f>IF(ISERROR(G45/G$11),"n.a.",G45/G$11)</f>
        <v/>
      </c>
      <c r="H47" s="412">
        <f>IF(ISERROR(H45/H$11),"n.a.",H45/H$11)</f>
        <v/>
      </c>
      <c r="I47" s="412">
        <f>IF(ISERROR(I45/I$11),"n.a.",I45/I$11)</f>
        <v/>
      </c>
      <c r="J47" s="412">
        <f>IF(ISERROR(J45/J$11),"n.a.",J45/J$11)</f>
        <v/>
      </c>
      <c r="K47" s="412">
        <f>IF(ISERROR(K45/K$11),"n.a.",K45/K$11)</f>
        <v/>
      </c>
      <c r="L47" s="412" t="n">
        <v>-0.015</v>
      </c>
      <c r="M47" s="412" t="n">
        <v>-0.015</v>
      </c>
      <c r="N47" s="412" t="n">
        <v>-0.015</v>
      </c>
      <c r="O47" s="412" t="n">
        <v>-0.015</v>
      </c>
      <c r="P47" s="412" t="n">
        <v>-0.015</v>
      </c>
      <c r="Q47" s="414">
        <f>-Assumptions!$D$31</f>
        <v/>
      </c>
      <c r="R47" s="412">
        <f>-Assumptions!$D$31</f>
        <v/>
      </c>
      <c r="S47" s="412">
        <f>-Assumptions!$D$31</f>
        <v/>
      </c>
      <c r="T47" s="412">
        <f>-Assumptions!$D$31</f>
        <v/>
      </c>
      <c r="U47" s="412">
        <f>-Assumptions!$D$31</f>
        <v/>
      </c>
      <c r="V47" s="412">
        <f>-Assumptions!$D$31</f>
        <v/>
      </c>
    </row>
    <row r="48">
      <c r="C48" s="411" t="n"/>
      <c r="D48" s="411" t="n"/>
      <c r="E48" s="412" t="n"/>
      <c r="F48" s="412" t="n"/>
      <c r="G48" s="412" t="n"/>
      <c r="H48" s="412" t="n"/>
      <c r="I48" s="412" t="n"/>
      <c r="J48" s="412" t="n"/>
      <c r="K48" s="412" t="n"/>
      <c r="L48" s="412" t="n"/>
      <c r="M48" s="412" t="n"/>
      <c r="N48" s="412" t="n"/>
      <c r="O48" s="412" t="n"/>
      <c r="P48" s="412" t="n"/>
      <c r="Q48" s="412" t="n"/>
      <c r="R48" s="412" t="n"/>
      <c r="S48" s="412" t="n"/>
      <c r="T48" s="412" t="n"/>
      <c r="U48" s="412" t="n"/>
      <c r="V48" s="412" t="n"/>
    </row>
    <row r="49">
      <c r="B49" s="371" t="n"/>
      <c r="C49" s="405" t="inlineStr">
        <is>
          <t>Other Cashflows</t>
        </is>
      </c>
      <c r="D49" s="405" t="n"/>
      <c r="E49" s="405" t="n"/>
      <c r="F49" s="406" t="n"/>
      <c r="G49" s="406" t="n"/>
      <c r="H49" s="406" t="n"/>
      <c r="I49" s="406" t="n"/>
      <c r="J49" s="406" t="n">
        <v>-1.5</v>
      </c>
      <c r="K49" s="406" t="n">
        <v>0.74</v>
      </c>
      <c r="L49" s="418" t="n">
        <v>0</v>
      </c>
      <c r="M49" s="418" t="n">
        <v>0</v>
      </c>
      <c r="N49" s="418" t="n">
        <v>0</v>
      </c>
      <c r="O49" s="418" t="n">
        <v>0</v>
      </c>
      <c r="P49" s="418" t="n">
        <v>0</v>
      </c>
      <c r="Q49" s="425" t="n">
        <v>0</v>
      </c>
      <c r="R49" s="425" t="n">
        <v>0</v>
      </c>
      <c r="S49" s="425" t="n">
        <v>0</v>
      </c>
      <c r="T49" s="425" t="n">
        <v>0</v>
      </c>
      <c r="U49" s="425" t="n">
        <v>0</v>
      </c>
      <c r="V49" s="425" t="n">
        <v>0</v>
      </c>
      <c r="Y49" s="326" t="inlineStr">
        <is>
          <t>&lt;&lt;&lt; link from financials tab and for 2025 onwards assume same as last year forecasts given by the company</t>
        </is>
      </c>
      <c r="Z49" s="326" t="n"/>
      <c r="AA49" s="326" t="n"/>
      <c r="AB49" s="326" t="n"/>
      <c r="AC49" s="326" t="n"/>
      <c r="AD49" s="326" t="n"/>
      <c r="AE49" s="326" t="n"/>
      <c r="AF49" s="326" t="n"/>
      <c r="AG49" s="326" t="n"/>
      <c r="AH49" s="326" t="n"/>
    </row>
    <row r="50">
      <c r="B50" s="371" t="n"/>
      <c r="C50" s="411" t="inlineStr">
        <is>
          <t>% growth</t>
        </is>
      </c>
      <c r="D50" s="411" t="n"/>
      <c r="E50" s="412" t="n"/>
      <c r="F50" s="412">
        <f>IF(ISERROR(F49/E49-1),"n.a.",F49/E49-1)</f>
        <v/>
      </c>
      <c r="G50" s="412">
        <f>IF(ISERROR(G49/F49-1),"n.a.",G49/F49-1)</f>
        <v/>
      </c>
      <c r="H50" s="412">
        <f>IF(ISERROR(H49/G49-1),"n.a.",H49/G49-1)</f>
        <v/>
      </c>
      <c r="I50" s="412">
        <f>IF(ISERROR(I49/H49-1),"n.a.",I49/H49-1)</f>
        <v/>
      </c>
      <c r="J50" s="412">
        <f>IF(ISERROR(J49/I49-1),"n.a.",J49/I49-1)</f>
        <v/>
      </c>
      <c r="K50" s="412">
        <f>IF(ISERROR(K49/J49-1),"n.a.",K49/J49-1)</f>
        <v/>
      </c>
      <c r="L50" s="412">
        <f>IF(ISERROR(L49/K49-1),"n.a.",L49/K49-1)</f>
        <v/>
      </c>
      <c r="M50" s="412">
        <f>IF(ISERROR(M49/L49-1),"n.a.",M49/L49-1)</f>
        <v/>
      </c>
      <c r="N50" s="412">
        <f>IF(ISERROR(N49/M49-1),"n.a.",N49/M49-1)</f>
        <v/>
      </c>
      <c r="O50" s="412">
        <f>IF(ISERROR(O49/N49-1),"n.a.",O49/N49-1)</f>
        <v/>
      </c>
      <c r="P50" s="412">
        <f>IF(ISERROR(P49/O49-1),"n.a.",P49/O49-1)</f>
        <v/>
      </c>
      <c r="Q50" s="412">
        <f>IF(ISERROR(Q49/P49-1),"n.a.",Q49/P49-1)</f>
        <v/>
      </c>
      <c r="R50" s="412">
        <f>IF(ISERROR(R49/Q49-1),"n.a.",R49/Q49-1)</f>
        <v/>
      </c>
      <c r="S50" s="412">
        <f>IF(ISERROR(S49/R49-1),"n.a.",S49/R49-1)</f>
        <v/>
      </c>
      <c r="T50" s="412">
        <f>IF(ISERROR(T49/S49-1),"n.a.",T49/S49-1)</f>
        <v/>
      </c>
      <c r="U50" s="412">
        <f>IF(ISERROR(U49/T49-1),"n.a.",U49/T49-1)</f>
        <v/>
      </c>
      <c r="V50" s="412">
        <f>IF(ISERROR(V49/U49-1),"n.a.",V49/U49-1)</f>
        <v/>
      </c>
    </row>
    <row r="51" ht="12.75" customHeight="1">
      <c r="B51" s="411" t="n"/>
      <c r="C51" s="411" t="inlineStr">
        <is>
          <t>% sales</t>
        </is>
      </c>
      <c r="D51" s="411" t="n"/>
      <c r="E51" s="412" t="n"/>
      <c r="F51" s="413">
        <f>IF(ISERROR(-F49/F$11),"n.a.",-F49/F$11)</f>
        <v/>
      </c>
      <c r="G51" s="413">
        <f>IF(ISERROR(-G49/G$11),"n.a.",-G49/G$11)</f>
        <v/>
      </c>
      <c r="H51" s="413">
        <f>IF(ISERROR(-H49/H$11),"n.a.",-H49/H$11)</f>
        <v/>
      </c>
      <c r="I51" s="413">
        <f>IF(ISERROR(-I49/I$11),"n.a.",-I49/I$11)</f>
        <v/>
      </c>
      <c r="J51" s="413">
        <f>IF(ISERROR(-J49/J$11),"n.a.",-J49/J$11)</f>
        <v/>
      </c>
      <c r="K51" s="413">
        <f>IF(ISERROR(-K49/K$11),"n.a.",-K49/K$11)</f>
        <v/>
      </c>
      <c r="L51" s="413">
        <f>IF(ISERROR(-L49/L$11),"n.a.",-L49/L$11)</f>
        <v/>
      </c>
      <c r="M51" s="413">
        <f>IF(ISERROR(-M49/M$11),"n.a.",-M49/M$11)</f>
        <v/>
      </c>
      <c r="N51" s="413">
        <f>IF(ISERROR(-N49/N$11),"n.a.",-N49/N$11)</f>
        <v/>
      </c>
      <c r="O51" s="413">
        <f>IF(ISERROR(-O49/O$11),"n.a.",-O49/O$11)</f>
        <v/>
      </c>
      <c r="P51" s="413">
        <f>IF(ISERROR(-P49/P$11),"n.a.",-P49/P$11)</f>
        <v/>
      </c>
      <c r="Q51" s="413">
        <f>IF(ISERROR(-Q49/Q$11),"n.a.",-Q49/Q$11)</f>
        <v/>
      </c>
      <c r="R51" s="413">
        <f>IF(ISERROR(-R49/R$11),"n.a.",-R49/R$11)</f>
        <v/>
      </c>
      <c r="S51" s="413">
        <f>IF(ISERROR(-S49/S$11),"n.a.",-S49/S$11)</f>
        <v/>
      </c>
      <c r="T51" s="413">
        <f>IF(ISERROR(-T49/T$11),"n.a.",-T49/T$11)</f>
        <v/>
      </c>
      <c r="U51" s="413">
        <f>IF(ISERROR(-U49/U$11),"n.a.",-U49/U$11)</f>
        <v/>
      </c>
      <c r="V51" s="413">
        <f>IF(ISERROR(-V49/V$11),"n.a.",-V49/V$11)</f>
        <v/>
      </c>
    </row>
    <row r="52">
      <c r="C52" s="411" t="n"/>
      <c r="D52" s="411" t="n"/>
      <c r="E52" s="412" t="n"/>
      <c r="F52" s="412" t="n"/>
      <c r="G52" s="412" t="n"/>
      <c r="H52" s="412" t="n"/>
      <c r="I52" s="412" t="n"/>
      <c r="J52" s="412" t="n"/>
      <c r="K52" s="412" t="n"/>
      <c r="L52" s="412" t="n"/>
      <c r="M52" s="412" t="n"/>
      <c r="N52" s="412" t="n"/>
      <c r="O52" s="412" t="n"/>
      <c r="P52" s="412" t="n"/>
      <c r="Q52" s="412" t="n"/>
      <c r="R52" s="412" t="n"/>
      <c r="S52" s="412" t="n"/>
      <c r="T52" s="412" t="n"/>
      <c r="U52" s="412" t="n"/>
      <c r="V52" s="412" t="n"/>
    </row>
    <row r="53">
      <c r="B53" s="371" t="n"/>
      <c r="C53" s="405" t="inlineStr">
        <is>
          <t>Exceptional items</t>
        </is>
      </c>
      <c r="D53" s="405" t="n"/>
      <c r="E53" s="405" t="n"/>
      <c r="F53" s="406" t="n"/>
      <c r="G53" s="406" t="n"/>
      <c r="H53" s="406" t="n"/>
      <c r="I53" s="406" t="n"/>
      <c r="J53" s="406" t="n">
        <v>0</v>
      </c>
      <c r="K53" s="406" t="n">
        <v>0</v>
      </c>
      <c r="L53" s="418" t="n">
        <v>0</v>
      </c>
      <c r="M53" s="418" t="n">
        <v>0</v>
      </c>
      <c r="N53" s="418" t="n">
        <v>0</v>
      </c>
      <c r="O53" s="418" t="n">
        <v>0</v>
      </c>
      <c r="P53" s="418" t="n">
        <v>0</v>
      </c>
      <c r="Q53" s="406" t="n">
        <v>0</v>
      </c>
      <c r="R53" s="406" t="n">
        <v>0</v>
      </c>
      <c r="S53" s="406" t="n">
        <v>0</v>
      </c>
      <c r="T53" s="406" t="n">
        <v>0</v>
      </c>
      <c r="U53" s="406" t="n">
        <v>0</v>
      </c>
      <c r="V53" s="406" t="n">
        <v>0</v>
      </c>
      <c r="Y53" s="326" t="inlineStr">
        <is>
          <t>&lt;&lt;&lt; link from financials tab</t>
        </is>
      </c>
      <c r="Z53" s="326" t="n"/>
      <c r="AA53" s="326" t="n"/>
      <c r="AB53" s="326" t="n"/>
      <c r="AC53" s="326" t="n"/>
      <c r="AD53" s="326" t="n"/>
      <c r="AE53" s="326" t="n"/>
      <c r="AF53" s="326" t="n"/>
      <c r="AG53" s="326" t="n"/>
      <c r="AH53" s="326" t="n"/>
    </row>
    <row r="54">
      <c r="B54" s="371" t="n"/>
      <c r="C54" s="411" t="inlineStr">
        <is>
          <t>% growth</t>
        </is>
      </c>
      <c r="D54" s="411" t="n"/>
      <c r="E54" s="412" t="n"/>
      <c r="F54" s="412">
        <f>IF(ISERROR(F53/E53-1),"n.a.",F53/E53-1)</f>
        <v/>
      </c>
      <c r="G54" s="412">
        <f>IF(ISERROR(G53/F53-1),"n.a.",G53/F53-1)</f>
        <v/>
      </c>
      <c r="H54" s="412">
        <f>IF(ISERROR(H53/G53-1),"n.a.",H53/G53-1)</f>
        <v/>
      </c>
      <c r="I54" s="412">
        <f>IF(ISERROR(I53/H53-1),"n.a.",I53/H53-1)</f>
        <v/>
      </c>
      <c r="J54" s="412">
        <f>IF(ISERROR(J53/I53-1),"n.a.",J53/I53-1)</f>
        <v/>
      </c>
      <c r="K54" s="412">
        <f>IF(ISERROR(K53/J53-1),"n.a.",K53/J53-1)</f>
        <v/>
      </c>
      <c r="L54" s="412">
        <f>IF(ISERROR(L53/K53-1),"n.a.",L53/K53-1)</f>
        <v/>
      </c>
      <c r="M54" s="412">
        <f>IF(ISERROR(M53/L53-1),"n.a.",M53/L53-1)</f>
        <v/>
      </c>
      <c r="N54" s="412">
        <f>IF(ISERROR(N53/M53-1),"n.a.",N53/M53-1)</f>
        <v/>
      </c>
      <c r="O54" s="412">
        <f>IF(ISERROR(O53/N53-1),"n.a.",O53/N53-1)</f>
        <v/>
      </c>
      <c r="P54" s="412">
        <f>IF(ISERROR(P53/O53-1),"n.a.",P53/O53-1)</f>
        <v/>
      </c>
      <c r="Q54" s="412">
        <f>IF(ISERROR(Q53/P53-1),"n.a.",Q53/P53-1)</f>
        <v/>
      </c>
      <c r="R54" s="412">
        <f>IF(ISERROR(R53/Q53-1),"n.a.",R53/Q53-1)</f>
        <v/>
      </c>
      <c r="S54" s="412">
        <f>IF(ISERROR(S53/R53-1),"n.a.",S53/R53-1)</f>
        <v/>
      </c>
      <c r="T54" s="412">
        <f>IF(ISERROR(T53/S53-1),"n.a.",T53/S53-1)</f>
        <v/>
      </c>
      <c r="U54" s="412">
        <f>IF(ISERROR(U53/T53-1),"n.a.",U53/T53-1)</f>
        <v/>
      </c>
      <c r="V54" s="412">
        <f>IF(ISERROR(V53/U53-1),"n.a.",V53/U53-1)</f>
        <v/>
      </c>
    </row>
    <row r="55" ht="12.75" customHeight="1">
      <c r="B55" s="411" t="n"/>
      <c r="C55" s="411" t="inlineStr">
        <is>
          <t>% sales</t>
        </is>
      </c>
      <c r="D55" s="411" t="n"/>
      <c r="E55" s="412" t="n"/>
      <c r="F55" s="413">
        <f>IF(ISERROR(-F53/F$11),"n.a.",-F53/F$11)</f>
        <v/>
      </c>
      <c r="G55" s="413">
        <f>IF(ISERROR(-G53/G$11),"n.a.",-G53/G$11)</f>
        <v/>
      </c>
      <c r="H55" s="413">
        <f>IF(ISERROR(-H53/H$11),"n.a.",-H53/H$11)</f>
        <v/>
      </c>
      <c r="I55" s="413">
        <f>IF(ISERROR(-I53/I$11),"n.a.",-I53/I$11)</f>
        <v/>
      </c>
      <c r="J55" s="413">
        <f>IF(ISERROR(-J53/J$11),"n.a.",-J53/J$11)</f>
        <v/>
      </c>
      <c r="K55" s="413">
        <f>IF(ISERROR(-K53/K$11),"n.a.",-K53/K$11)</f>
        <v/>
      </c>
      <c r="L55" s="413">
        <f>IF(ISERROR(-L53/L$11),"n.a.",-L53/L$11)</f>
        <v/>
      </c>
      <c r="M55" s="413">
        <f>IF(ISERROR(-M53/M$11),"n.a.",-M53/M$11)</f>
        <v/>
      </c>
      <c r="N55" s="413">
        <f>IF(ISERROR(-N53/N$11),"n.a.",-N53/N$11)</f>
        <v/>
      </c>
      <c r="O55" s="413">
        <f>IF(ISERROR(-O53/O$11),"n.a.",-O53/O$11)</f>
        <v/>
      </c>
      <c r="P55" s="413">
        <f>IF(ISERROR(-P53/P$11),"n.a.",-P53/P$11)</f>
        <v/>
      </c>
      <c r="Q55" s="413">
        <f>IF(ISERROR(-Q53/Q$11),"n.a.",-Q53/Q$11)</f>
        <v/>
      </c>
      <c r="R55" s="413">
        <f>IF(ISERROR(-R53/R$11),"n.a.",-R53/R$11)</f>
        <v/>
      </c>
      <c r="S55" s="413">
        <f>IF(ISERROR(-S53/S$11),"n.a.",-S53/S$11)</f>
        <v/>
      </c>
      <c r="T55" s="413">
        <f>IF(ISERROR(-T53/T$11),"n.a.",-T53/T$11)</f>
        <v/>
      </c>
      <c r="U55" s="413">
        <f>IF(ISERROR(-U53/U$11),"n.a.",-U53/U$11)</f>
        <v/>
      </c>
      <c r="V55" s="413">
        <f>IF(ISERROR(-V53/V$11),"n.a.",-V53/V$11)</f>
        <v/>
      </c>
    </row>
    <row r="56">
      <c r="L56" s="401" t="n"/>
      <c r="M56" s="401" t="n"/>
    </row>
    <row r="57">
      <c r="C57" s="426" t="inlineStr">
        <is>
          <t>Summary financials</t>
        </is>
      </c>
      <c r="D57" s="427" t="n"/>
      <c r="E57" s="90" t="n"/>
      <c r="F57" s="428" t="n"/>
      <c r="G57" s="428" t="n"/>
      <c r="H57" s="428" t="n"/>
      <c r="I57" s="428" t="n"/>
      <c r="J57" s="428" t="n"/>
      <c r="K57" s="428" t="n"/>
      <c r="L57" s="90" t="n"/>
      <c r="M57" s="428" t="n"/>
      <c r="N57" s="427" t="n"/>
      <c r="O57" s="427" t="n"/>
      <c r="P57" s="427" t="n"/>
      <c r="Q57" s="427" t="n"/>
      <c r="R57" s="427" t="n"/>
      <c r="S57" s="427" t="n"/>
      <c r="T57" s="427" t="n"/>
      <c r="U57" s="427" t="n"/>
      <c r="V57" s="427" t="n"/>
    </row>
    <row r="58">
      <c r="C58" s="71" t="inlineStr">
        <is>
          <t>March Y/E</t>
        </is>
      </c>
      <c r="D58" s="71" t="n"/>
      <c r="E58" s="429" t="n"/>
      <c r="F58" s="430">
        <f>F9</f>
        <v/>
      </c>
      <c r="G58" s="430">
        <f>G9</f>
        <v/>
      </c>
      <c r="H58" s="430">
        <f>H9</f>
        <v/>
      </c>
      <c r="I58" s="430">
        <f>I9</f>
        <v/>
      </c>
      <c r="J58" s="430">
        <f>J9</f>
        <v/>
      </c>
      <c r="K58" s="430">
        <f>K9</f>
        <v/>
      </c>
      <c r="L58" s="431">
        <f>L9</f>
        <v/>
      </c>
      <c r="M58" s="431">
        <f>M9</f>
        <v/>
      </c>
      <c r="N58" s="431">
        <f>N9</f>
        <v/>
      </c>
      <c r="O58" s="431">
        <f>O9</f>
        <v/>
      </c>
      <c r="P58" s="431">
        <f>P9</f>
        <v/>
      </c>
      <c r="Q58" s="431">
        <f>Q9</f>
        <v/>
      </c>
      <c r="R58" s="431">
        <f>R9</f>
        <v/>
      </c>
      <c r="S58" s="431">
        <f>S9</f>
        <v/>
      </c>
      <c r="T58" s="431">
        <f>T9</f>
        <v/>
      </c>
      <c r="U58" s="431">
        <f>U9</f>
        <v/>
      </c>
      <c r="V58" s="431">
        <f>V9</f>
        <v/>
      </c>
    </row>
    <row r="59">
      <c r="C59" s="101" t="n"/>
      <c r="D59" s="101" t="n"/>
      <c r="E59" s="432" t="n"/>
      <c r="F59" s="433" t="n"/>
      <c r="G59" s="433" t="n"/>
      <c r="H59" s="433" t="n"/>
      <c r="I59" s="433" t="n"/>
      <c r="J59" s="433" t="n"/>
      <c r="K59" s="433" t="n"/>
      <c r="L59" s="433" t="n"/>
      <c r="M59" s="433" t="n"/>
      <c r="N59" s="433" t="n"/>
      <c r="O59" s="433" t="n"/>
      <c r="P59" s="433" t="n"/>
      <c r="Q59" s="433" t="n"/>
      <c r="R59" s="433" t="n"/>
      <c r="S59" s="433" t="n"/>
      <c r="T59" s="433" t="n"/>
      <c r="U59" s="433" t="n"/>
      <c r="V59" s="433" t="n"/>
    </row>
    <row r="60">
      <c r="C60" s="203" t="inlineStr">
        <is>
          <t>Revenue</t>
        </is>
      </c>
      <c r="D60" s="203" t="n"/>
      <c r="E60" s="203" t="n"/>
      <c r="F60" s="434">
        <f>F11</f>
        <v/>
      </c>
      <c r="G60" s="434">
        <f>G11</f>
        <v/>
      </c>
      <c r="H60" s="434">
        <f>H11</f>
        <v/>
      </c>
      <c r="I60" s="434">
        <f>I11</f>
        <v/>
      </c>
      <c r="J60" s="434">
        <f>J11</f>
        <v/>
      </c>
      <c r="K60" s="434">
        <f>K11</f>
        <v/>
      </c>
      <c r="L60" s="434">
        <f>L11</f>
        <v/>
      </c>
      <c r="M60" s="434">
        <f>M11</f>
        <v/>
      </c>
      <c r="N60" s="434">
        <f>N11</f>
        <v/>
      </c>
      <c r="O60" s="434">
        <f>O11</f>
        <v/>
      </c>
      <c r="P60" s="434">
        <f>P11</f>
        <v/>
      </c>
      <c r="Q60" s="434">
        <f>Q11</f>
        <v/>
      </c>
      <c r="R60" s="434">
        <f>R11</f>
        <v/>
      </c>
      <c r="S60" s="434">
        <f>S11</f>
        <v/>
      </c>
      <c r="T60" s="434">
        <f>T11</f>
        <v/>
      </c>
      <c r="U60" s="434">
        <f>U11</f>
        <v/>
      </c>
      <c r="V60" s="434">
        <f>V11</f>
        <v/>
      </c>
    </row>
    <row r="61">
      <c r="C61" s="200" t="inlineStr">
        <is>
          <t>% growth</t>
        </is>
      </c>
      <c r="D61" s="199" t="n"/>
      <c r="E61" s="435" t="n"/>
      <c r="F61" s="436">
        <f>IF(ISERROR(F60/E60-1),"n.a.",F60/E60-1)</f>
        <v/>
      </c>
      <c r="G61" s="436">
        <f>IF(ISERROR(G60/F60-1),"n.a.",G60/F60-1)</f>
        <v/>
      </c>
      <c r="H61" s="436">
        <f>IF(ISERROR(H60/G60-1),"n.a.",H60/G60-1)</f>
        <v/>
      </c>
      <c r="I61" s="436">
        <f>IF(ISERROR(I60/H60-1),"n.a.",I60/H60-1)</f>
        <v/>
      </c>
      <c r="J61" s="436">
        <f>IF(ISERROR(J60/I60-1),"n.a.",J60/I60-1)</f>
        <v/>
      </c>
      <c r="K61" s="436">
        <f>IF(ISERROR(K60/J60-1),"n.a.",K60/J60-1)</f>
        <v/>
      </c>
      <c r="L61" s="436">
        <f>IF(ISERROR(L60/K60-1),"n.a.",L60/K60-1)</f>
        <v/>
      </c>
      <c r="M61" s="436">
        <f>IF(ISERROR(M60/L60-1),"n.a.",M60/L60-1)</f>
        <v/>
      </c>
      <c r="N61" s="436">
        <f>IF(ISERROR(N60/M60-1),"n.a.",N60/M60-1)</f>
        <v/>
      </c>
      <c r="O61" s="436">
        <f>IF(ISERROR(O60/N60-1),"n.a.",O60/N60-1)</f>
        <v/>
      </c>
      <c r="P61" s="436">
        <f>IF(ISERROR(P60/O60-1),"n.a.",P60/O60-1)</f>
        <v/>
      </c>
      <c r="Q61" s="436">
        <f>IF(ISERROR(Q60/P60-1),"n.a.",Q60/P60-1)</f>
        <v/>
      </c>
      <c r="R61" s="436">
        <f>IF(ISERROR(R60/Q60-1),"n.a.",R60/Q60-1)</f>
        <v/>
      </c>
      <c r="S61" s="436">
        <f>IF(ISERROR(S60/R60-1),"n.a.",S60/R60-1)</f>
        <v/>
      </c>
      <c r="T61" s="436">
        <f>IF(ISERROR(T60/S60-1),"n.a.",T60/S60-1)</f>
        <v/>
      </c>
      <c r="U61" s="436">
        <f>IF(ISERROR(U60/T60-1),"n.a.",U60/T60-1)</f>
        <v/>
      </c>
      <c r="V61" s="436">
        <f>IF(ISERROR(V60/U60-1),"n.a.",V60/U60-1)</f>
        <v/>
      </c>
    </row>
    <row r="62">
      <c r="C62" s="203" t="inlineStr">
        <is>
          <t>EBITDA</t>
        </is>
      </c>
      <c r="D62" s="203" t="n"/>
      <c r="E62" s="203" t="n"/>
      <c r="F62" s="434">
        <f>F15</f>
        <v/>
      </c>
      <c r="G62" s="434">
        <f>G15</f>
        <v/>
      </c>
      <c r="H62" s="434">
        <f>H15</f>
        <v/>
      </c>
      <c r="I62" s="434">
        <f>I15</f>
        <v/>
      </c>
      <c r="J62" s="434">
        <f>J15</f>
        <v/>
      </c>
      <c r="K62" s="434">
        <f>K15</f>
        <v/>
      </c>
      <c r="L62" s="434">
        <f>L15</f>
        <v/>
      </c>
      <c r="M62" s="434">
        <f>M15</f>
        <v/>
      </c>
      <c r="N62" s="434">
        <f>N15</f>
        <v/>
      </c>
      <c r="O62" s="434">
        <f>O15</f>
        <v/>
      </c>
      <c r="P62" s="434">
        <f>P15</f>
        <v/>
      </c>
      <c r="Q62" s="434">
        <f>Q15</f>
        <v/>
      </c>
      <c r="R62" s="434">
        <f>R15</f>
        <v/>
      </c>
      <c r="S62" s="434">
        <f>S15</f>
        <v/>
      </c>
      <c r="T62" s="434">
        <f>T15</f>
        <v/>
      </c>
      <c r="U62" s="434">
        <f>U15</f>
        <v/>
      </c>
      <c r="V62" s="434">
        <f>V15</f>
        <v/>
      </c>
    </row>
    <row r="63">
      <c r="C63" s="200" t="inlineStr">
        <is>
          <t>% growth</t>
        </is>
      </c>
      <c r="D63" s="199" t="n"/>
      <c r="E63" s="435" t="n"/>
      <c r="F63" s="436">
        <f>IF(ISERROR(F62/E62-1),"n.a.",F62/E62-1)</f>
        <v/>
      </c>
      <c r="G63" s="436">
        <f>IF(ISERROR(G62/F62-1),"n.a.",G62/F62-1)</f>
        <v/>
      </c>
      <c r="H63" s="436">
        <f>IF(ISERROR(H62/G62-1),"n.a.",H62/G62-1)</f>
        <v/>
      </c>
      <c r="I63" s="436">
        <f>IF(ISERROR(I62/H62-1),"n.a.",I62/H62-1)</f>
        <v/>
      </c>
      <c r="J63" s="436">
        <f>IF(ISERROR(J62/I62-1),"n.a.",J62/I62-1)</f>
        <v/>
      </c>
      <c r="K63" s="436">
        <f>IF(ISERROR(K62/J62-1),"n.a.",K62/J62-1)</f>
        <v/>
      </c>
      <c r="L63" s="436">
        <f>IF(ISERROR(L62/K62-1),"n.a.",L62/K62-1)</f>
        <v/>
      </c>
      <c r="M63" s="436">
        <f>IF(ISERROR(M62/L62-1),"n.a.",M62/L62-1)</f>
        <v/>
      </c>
      <c r="N63" s="436">
        <f>IF(ISERROR(N62/M62-1),"n.a.",N62/M62-1)</f>
        <v/>
      </c>
      <c r="O63" s="436">
        <f>IF(ISERROR(O62/N62-1),"n.a.",O62/N62-1)</f>
        <v/>
      </c>
      <c r="P63" s="436">
        <f>IF(ISERROR(P62/O62-1),"n.a.",P62/O62-1)</f>
        <v/>
      </c>
      <c r="Q63" s="436">
        <f>IF(ISERROR(Q62/P62-1),"n.a.",Q62/P62-1)</f>
        <v/>
      </c>
      <c r="R63" s="436">
        <f>IF(ISERROR(R62/Q62-1),"n.a.",R62/Q62-1)</f>
        <v/>
      </c>
      <c r="S63" s="436">
        <f>IF(ISERROR(S62/R62-1),"n.a.",S62/R62-1)</f>
        <v/>
      </c>
      <c r="T63" s="436">
        <f>IF(ISERROR(T62/S62-1),"n.a.",T62/S62-1)</f>
        <v/>
      </c>
      <c r="U63" s="436">
        <f>IF(ISERROR(U62/T62-1),"n.a.",U62/T62-1)</f>
        <v/>
      </c>
      <c r="V63" s="436">
        <f>IF(ISERROR(V62/U62-1),"n.a.",V62/U62-1)</f>
        <v/>
      </c>
    </row>
    <row r="64">
      <c r="C64" s="200" t="inlineStr">
        <is>
          <t>% margin</t>
        </is>
      </c>
      <c r="D64" s="199" t="n"/>
      <c r="E64" s="202" t="n"/>
      <c r="F64" s="437">
        <f>F62/F$60</f>
        <v/>
      </c>
      <c r="G64" s="437">
        <f>G62/G$60</f>
        <v/>
      </c>
      <c r="H64" s="437">
        <f>H62/H$60</f>
        <v/>
      </c>
      <c r="I64" s="437">
        <f>I62/I$60</f>
        <v/>
      </c>
      <c r="J64" s="437">
        <f>J62/J$60</f>
        <v/>
      </c>
      <c r="K64" s="437">
        <f>K62/K$60</f>
        <v/>
      </c>
      <c r="L64" s="437">
        <f>L62/L$60</f>
        <v/>
      </c>
      <c r="M64" s="437">
        <f>M62/M$60</f>
        <v/>
      </c>
      <c r="N64" s="437">
        <f>N62/N$60</f>
        <v/>
      </c>
      <c r="O64" s="437">
        <f>O62/O$60</f>
        <v/>
      </c>
      <c r="P64" s="437">
        <f>P62/P$60</f>
        <v/>
      </c>
      <c r="Q64" s="437">
        <f>Q62/Q$60</f>
        <v/>
      </c>
      <c r="R64" s="437">
        <f>R62/R$60</f>
        <v/>
      </c>
      <c r="S64" s="437">
        <f>S62/S$60</f>
        <v/>
      </c>
      <c r="T64" s="437">
        <f>T62/T$60</f>
        <v/>
      </c>
      <c r="U64" s="437">
        <f>U62/U$60</f>
        <v/>
      </c>
      <c r="V64" s="437">
        <f>V62/V$60</f>
        <v/>
      </c>
    </row>
    <row r="65">
      <c r="C65" s="199" t="inlineStr">
        <is>
          <t>D&amp;A</t>
        </is>
      </c>
      <c r="D65" s="199" t="n"/>
      <c r="E65" s="202" t="n"/>
      <c r="F65" s="438">
        <f>+F68-F62</f>
        <v/>
      </c>
      <c r="G65" s="438">
        <f>+G68-G62</f>
        <v/>
      </c>
      <c r="H65" s="438">
        <f>+H68-H62</f>
        <v/>
      </c>
      <c r="I65" s="438">
        <f>+I68-I62</f>
        <v/>
      </c>
      <c r="J65" s="438">
        <f>+J68-J62</f>
        <v/>
      </c>
      <c r="K65" s="438">
        <f>+K68-K62</f>
        <v/>
      </c>
      <c r="L65" s="438">
        <f>+L68-L62</f>
        <v/>
      </c>
      <c r="M65" s="438">
        <f>+M68-M62</f>
        <v/>
      </c>
      <c r="N65" s="438">
        <f>+N68-N62</f>
        <v/>
      </c>
      <c r="O65" s="438">
        <f>+O68-O62</f>
        <v/>
      </c>
      <c r="P65" s="438">
        <f>+P68-P62</f>
        <v/>
      </c>
      <c r="Q65" s="438">
        <f>+Q68-Q62</f>
        <v/>
      </c>
      <c r="R65" s="438">
        <f>+R68-R62</f>
        <v/>
      </c>
      <c r="S65" s="438">
        <f>+S68-S62</f>
        <v/>
      </c>
      <c r="T65" s="438">
        <f>+T68-T62</f>
        <v/>
      </c>
      <c r="U65" s="438">
        <f>+U68-U62</f>
        <v/>
      </c>
      <c r="V65" s="438">
        <f>+V68-V62</f>
        <v/>
      </c>
    </row>
    <row r="66">
      <c r="C66" s="200" t="inlineStr">
        <is>
          <t>% of revenue</t>
        </is>
      </c>
      <c r="D66" s="199" t="n"/>
      <c r="E66" s="202" t="n"/>
      <c r="F66" s="437">
        <f>+F65/F60</f>
        <v/>
      </c>
      <c r="G66" s="437">
        <f>+G65/G60</f>
        <v/>
      </c>
      <c r="H66" s="437">
        <f>+H65/H60</f>
        <v/>
      </c>
      <c r="I66" s="437">
        <f>+I65/I60</f>
        <v/>
      </c>
      <c r="J66" s="437">
        <f>+J65/J60</f>
        <v/>
      </c>
      <c r="K66" s="437">
        <f>+K65/K60</f>
        <v/>
      </c>
      <c r="L66" s="437">
        <f>+L65/L60</f>
        <v/>
      </c>
      <c r="M66" s="437">
        <f>+M65/M60</f>
        <v/>
      </c>
      <c r="N66" s="437">
        <f>+N65/N60</f>
        <v/>
      </c>
      <c r="O66" s="437">
        <f>+O65/O60</f>
        <v/>
      </c>
      <c r="P66" s="437">
        <f>+P65/P60</f>
        <v/>
      </c>
      <c r="Q66" s="437">
        <f>+Q65/Q60</f>
        <v/>
      </c>
      <c r="R66" s="437">
        <f>+R65/R60</f>
        <v/>
      </c>
      <c r="S66" s="437">
        <f>+S65/S60</f>
        <v/>
      </c>
      <c r="T66" s="437">
        <f>+T65/T60</f>
        <v/>
      </c>
      <c r="U66" s="437">
        <f>+U65/U60</f>
        <v/>
      </c>
      <c r="V66" s="437">
        <f>+V65/V60</f>
        <v/>
      </c>
    </row>
    <row r="67">
      <c r="C67" s="200" t="inlineStr">
        <is>
          <t>% of capex</t>
        </is>
      </c>
      <c r="D67" s="199" t="n"/>
      <c r="E67" s="202" t="n"/>
      <c r="F67" s="437">
        <f>+F65/F72</f>
        <v/>
      </c>
      <c r="G67" s="437">
        <f>+G65/G72</f>
        <v/>
      </c>
      <c r="H67" s="437">
        <f>+H65/H72</f>
        <v/>
      </c>
      <c r="I67" s="437">
        <f>+I65/I72</f>
        <v/>
      </c>
      <c r="J67" s="437">
        <f>+J65/J72</f>
        <v/>
      </c>
      <c r="K67" s="437">
        <f>+K65/K72</f>
        <v/>
      </c>
      <c r="L67" s="437">
        <f>+L65/L72</f>
        <v/>
      </c>
      <c r="M67" s="437">
        <f>+M65/M72</f>
        <v/>
      </c>
      <c r="N67" s="437">
        <f>+N65/N72</f>
        <v/>
      </c>
      <c r="O67" s="437">
        <f>+O65/O72</f>
        <v/>
      </c>
      <c r="P67" s="437">
        <f>+P65/P72</f>
        <v/>
      </c>
      <c r="Q67" s="437">
        <f>+Q65/Q72</f>
        <v/>
      </c>
      <c r="R67" s="437">
        <f>+R65/R72</f>
        <v/>
      </c>
      <c r="S67" s="437">
        <f>+S65/S72</f>
        <v/>
      </c>
      <c r="T67" s="437">
        <f>+T65/T72</f>
        <v/>
      </c>
      <c r="U67" s="437">
        <f>+U65/U72</f>
        <v/>
      </c>
      <c r="V67" s="437">
        <f>+V65/V72</f>
        <v/>
      </c>
    </row>
    <row r="68">
      <c r="C68" s="203" t="inlineStr">
        <is>
          <t>EBIT</t>
        </is>
      </c>
      <c r="D68" s="203" t="n"/>
      <c r="E68" s="203" t="n"/>
      <c r="F68" s="434">
        <f>F25</f>
        <v/>
      </c>
      <c r="G68" s="434">
        <f>G25</f>
        <v/>
      </c>
      <c r="H68" s="434">
        <f>H25</f>
        <v/>
      </c>
      <c r="I68" s="434">
        <f>I25</f>
        <v/>
      </c>
      <c r="J68" s="434">
        <f>J25</f>
        <v/>
      </c>
      <c r="K68" s="434">
        <f>K25</f>
        <v/>
      </c>
      <c r="L68" s="434">
        <f>L25</f>
        <v/>
      </c>
      <c r="M68" s="434">
        <f>M25</f>
        <v/>
      </c>
      <c r="N68" s="434">
        <f>N25</f>
        <v/>
      </c>
      <c r="O68" s="434">
        <f>O25</f>
        <v/>
      </c>
      <c r="P68" s="434">
        <f>P25</f>
        <v/>
      </c>
      <c r="Q68" s="434">
        <f>Q25</f>
        <v/>
      </c>
      <c r="R68" s="434">
        <f>R25</f>
        <v/>
      </c>
      <c r="S68" s="434">
        <f>S25</f>
        <v/>
      </c>
      <c r="T68" s="434">
        <f>T25</f>
        <v/>
      </c>
      <c r="U68" s="434">
        <f>U25</f>
        <v/>
      </c>
      <c r="V68" s="434">
        <f>V25</f>
        <v/>
      </c>
    </row>
    <row r="69">
      <c r="C69" s="200" t="inlineStr">
        <is>
          <t>% growth</t>
        </is>
      </c>
      <c r="D69" s="199" t="n"/>
      <c r="E69" s="435" t="n"/>
      <c r="F69" s="437">
        <f>IF(ISERROR(F68/C68-1),"n.a.",F68/C68-1)</f>
        <v/>
      </c>
      <c r="G69" s="437">
        <f>IF(ISERROR(G68/F68-1),"n.a.",G68/F68-1)</f>
        <v/>
      </c>
      <c r="H69" s="437">
        <f>IF(ISERROR(H68/G68-1),"n.a.",H68/G68-1)</f>
        <v/>
      </c>
      <c r="I69" s="437">
        <f>IF(ISERROR(I68/H68-1),"n.a.",I68/H68-1)</f>
        <v/>
      </c>
      <c r="J69" s="437">
        <f>IF(ISERROR(J68/I68-1),"n.a.",J68/I68-1)</f>
        <v/>
      </c>
      <c r="K69" s="437">
        <f>IF(ISERROR(K68/J68-1),"n.a.",K68/J68-1)</f>
        <v/>
      </c>
      <c r="L69" s="437">
        <f>IF(ISERROR(L68/K68-1),"n.a.",L68/K68-1)</f>
        <v/>
      </c>
      <c r="M69" s="437">
        <f>IF(ISERROR(M68/L68-1),"n.a.",M68/L68-1)</f>
        <v/>
      </c>
      <c r="N69" s="437">
        <f>IF(ISERROR(N68/M68-1),"n.a.",N68/M68-1)</f>
        <v/>
      </c>
      <c r="O69" s="437">
        <f>IF(ISERROR(O68/N68-1),"n.a.",O68/N68-1)</f>
        <v/>
      </c>
      <c r="P69" s="437">
        <f>IF(ISERROR(P68/O68-1),"n.a.",P68/O68-1)</f>
        <v/>
      </c>
      <c r="Q69" s="437">
        <f>IF(ISERROR(Q68/P68-1),"n.a.",Q68/P68-1)</f>
        <v/>
      </c>
      <c r="R69" s="437">
        <f>IF(ISERROR(R68/Q68-1),"n.a.",R68/Q68-1)</f>
        <v/>
      </c>
      <c r="S69" s="437">
        <f>IF(ISERROR(S68/R68-1),"n.a.",S68/R68-1)</f>
        <v/>
      </c>
      <c r="T69" s="437">
        <f>IF(ISERROR(T68/S68-1),"n.a.",T68/S68-1)</f>
        <v/>
      </c>
      <c r="U69" s="437">
        <f>IF(ISERROR(U68/T68-1),"n.a.",U68/T68-1)</f>
        <v/>
      </c>
      <c r="V69" s="437">
        <f>IF(ISERROR(V68/U68-1),"n.a.",V68/U68-1)</f>
        <v/>
      </c>
    </row>
    <row r="70">
      <c r="C70" s="200" t="inlineStr">
        <is>
          <t>% margin</t>
        </is>
      </c>
      <c r="D70" s="199" t="n"/>
      <c r="E70" s="202" t="n"/>
      <c r="F70" s="439">
        <f>F68/F$60</f>
        <v/>
      </c>
      <c r="G70" s="439">
        <f>G68/G$60</f>
        <v/>
      </c>
      <c r="H70" s="439">
        <f>H68/H$60</f>
        <v/>
      </c>
      <c r="I70" s="439">
        <f>I68/I$60</f>
        <v/>
      </c>
      <c r="J70" s="439">
        <f>J68/J$60</f>
        <v/>
      </c>
      <c r="K70" s="439">
        <f>K68/K$60</f>
        <v/>
      </c>
      <c r="L70" s="439">
        <f>L68/L$60</f>
        <v/>
      </c>
      <c r="M70" s="439">
        <f>M68/M$60</f>
        <v/>
      </c>
      <c r="N70" s="439">
        <f>N68/N$60</f>
        <v/>
      </c>
      <c r="O70" s="439">
        <f>O68/O$60</f>
        <v/>
      </c>
      <c r="P70" s="439">
        <f>P68/P$60</f>
        <v/>
      </c>
      <c r="Q70" s="439">
        <f>Q68/Q$60</f>
        <v/>
      </c>
      <c r="R70" s="439">
        <f>R68/R$60</f>
        <v/>
      </c>
      <c r="S70" s="439">
        <f>S68/S$60</f>
        <v/>
      </c>
      <c r="T70" s="439">
        <f>T68/T$60</f>
        <v/>
      </c>
      <c r="U70" s="439">
        <f>U68/U$60</f>
        <v/>
      </c>
      <c r="V70" s="439">
        <f>V68/V$60</f>
        <v/>
      </c>
    </row>
    <row r="71">
      <c r="C71" s="199" t="inlineStr">
        <is>
          <t>EBITDA</t>
        </is>
      </c>
      <c r="D71" s="199" t="n"/>
      <c r="E71" s="199" t="n"/>
      <c r="F71" s="438">
        <f>F15</f>
        <v/>
      </c>
      <c r="G71" s="438">
        <f>G15</f>
        <v/>
      </c>
      <c r="H71" s="438">
        <f>H15</f>
        <v/>
      </c>
      <c r="I71" s="438">
        <f>I15</f>
        <v/>
      </c>
      <c r="J71" s="438">
        <f>J15</f>
        <v/>
      </c>
      <c r="K71" s="438">
        <f>K15</f>
        <v/>
      </c>
      <c r="L71" s="438">
        <f>L15</f>
        <v/>
      </c>
      <c r="M71" s="438">
        <f>M15</f>
        <v/>
      </c>
      <c r="N71" s="438">
        <f>N15</f>
        <v/>
      </c>
      <c r="O71" s="438">
        <f>O15</f>
        <v/>
      </c>
      <c r="P71" s="438">
        <f>P15</f>
        <v/>
      </c>
      <c r="Q71" s="438">
        <f>Q15</f>
        <v/>
      </c>
      <c r="R71" s="438">
        <f>R15</f>
        <v/>
      </c>
      <c r="S71" s="438">
        <f>S15</f>
        <v/>
      </c>
      <c r="T71" s="438">
        <f>T15</f>
        <v/>
      </c>
      <c r="U71" s="438">
        <f>U15</f>
        <v/>
      </c>
      <c r="V71" s="438">
        <f>V15</f>
        <v/>
      </c>
    </row>
    <row r="72">
      <c r="C72" s="203" t="inlineStr">
        <is>
          <t>Capex</t>
        </is>
      </c>
      <c r="D72" s="203" t="n"/>
      <c r="E72" s="440" t="n"/>
      <c r="F72" s="434">
        <f>F40</f>
        <v/>
      </c>
      <c r="G72" s="434">
        <f>G40</f>
        <v/>
      </c>
      <c r="H72" s="434">
        <f>H40</f>
        <v/>
      </c>
      <c r="I72" s="434">
        <f>I40</f>
        <v/>
      </c>
      <c r="J72" s="434">
        <f>J40</f>
        <v/>
      </c>
      <c r="K72" s="434">
        <f>K40</f>
        <v/>
      </c>
      <c r="L72" s="434">
        <f>L40</f>
        <v/>
      </c>
      <c r="M72" s="434">
        <f>M40</f>
        <v/>
      </c>
      <c r="N72" s="434">
        <f>N40</f>
        <v/>
      </c>
      <c r="O72" s="434">
        <f>O40</f>
        <v/>
      </c>
      <c r="P72" s="434">
        <f>P40</f>
        <v/>
      </c>
      <c r="Q72" s="434">
        <f>Q40</f>
        <v/>
      </c>
      <c r="R72" s="434">
        <f>R40</f>
        <v/>
      </c>
      <c r="S72" s="434">
        <f>S40</f>
        <v/>
      </c>
      <c r="T72" s="434">
        <f>T40</f>
        <v/>
      </c>
      <c r="U72" s="434">
        <f>U40</f>
        <v/>
      </c>
      <c r="V72" s="434">
        <f>V40</f>
        <v/>
      </c>
    </row>
    <row r="73">
      <c r="C73" s="200" t="inlineStr">
        <is>
          <t>% revenue</t>
        </is>
      </c>
      <c r="D73" s="199" t="n"/>
      <c r="E73" s="435" t="n"/>
      <c r="F73" s="436">
        <f>IF(ISERROR(-F72/F$60),"n.a.",-F72/F$60)</f>
        <v/>
      </c>
      <c r="G73" s="436">
        <f>IF(ISERROR(-G72/G$60),"n.a.",-G72/G$60)</f>
        <v/>
      </c>
      <c r="H73" s="436">
        <f>IF(ISERROR(-H72/H$60),"n.a.",-H72/H$60)</f>
        <v/>
      </c>
      <c r="I73" s="436">
        <f>IF(ISERROR(-I72/I$60),"n.a.",-I72/I$60)</f>
        <v/>
      </c>
      <c r="J73" s="436">
        <f>IF(ISERROR(-J72/J$60),"n.a.",-J72/J$60)</f>
        <v/>
      </c>
      <c r="K73" s="436">
        <f>IF(ISERROR(-K72/K$60),"n.a.",-K72/K$60)</f>
        <v/>
      </c>
      <c r="L73" s="436">
        <f>IF(ISERROR(-L72/L$60),"n.a.",-L72/L$60)</f>
        <v/>
      </c>
      <c r="M73" s="436">
        <f>IF(ISERROR(-M72/M$60),"n.a.",-M72/M$60)</f>
        <v/>
      </c>
      <c r="N73" s="436">
        <f>IF(ISERROR(-N72/N$60),"n.a.",-N72/N$60)</f>
        <v/>
      </c>
      <c r="O73" s="436">
        <f>IF(ISERROR(-O72/O$60),"n.a.",-O72/O$60)</f>
        <v/>
      </c>
      <c r="P73" s="436">
        <f>IF(ISERROR(-P72/P$60),"n.a.",-P72/P$60)</f>
        <v/>
      </c>
      <c r="Q73" s="436">
        <f>IF(ISERROR(-Q72/Q$60),"n.a.",-Q72/Q$60)</f>
        <v/>
      </c>
      <c r="R73" s="436">
        <f>IF(ISERROR(-R72/R$60),"n.a.",-R72/R$60)</f>
        <v/>
      </c>
      <c r="S73" s="436">
        <f>IF(ISERROR(-S72/S$60),"n.a.",-S72/S$60)</f>
        <v/>
      </c>
      <c r="T73" s="436">
        <f>IF(ISERROR(-T72/T$60),"n.a.",-T72/T$60)</f>
        <v/>
      </c>
      <c r="U73" s="436">
        <f>IF(ISERROR(-U72/U$60),"n.a.",-U72/U$60)</f>
        <v/>
      </c>
      <c r="V73" s="436">
        <f>IF(ISERROR(-V72/V$60),"n.a.",-V72/V$60)</f>
        <v/>
      </c>
    </row>
    <row r="74">
      <c r="C74" s="199" t="inlineStr">
        <is>
          <t>Change in NWC</t>
        </is>
      </c>
      <c r="D74" s="199" t="n"/>
      <c r="E74" s="435" t="n"/>
      <c r="F74" s="438">
        <f>F45</f>
        <v/>
      </c>
      <c r="G74" s="438">
        <f>G45</f>
        <v/>
      </c>
      <c r="H74" s="438">
        <f>H45</f>
        <v/>
      </c>
      <c r="I74" s="438">
        <f>I45</f>
        <v/>
      </c>
      <c r="J74" s="438">
        <f>J45</f>
        <v/>
      </c>
      <c r="K74" s="438">
        <f>K45</f>
        <v/>
      </c>
      <c r="L74" s="438">
        <f>L45</f>
        <v/>
      </c>
      <c r="M74" s="438">
        <f>M45</f>
        <v/>
      </c>
      <c r="N74" s="438">
        <f>N45</f>
        <v/>
      </c>
      <c r="O74" s="438">
        <f>O45</f>
        <v/>
      </c>
      <c r="P74" s="438">
        <f>P45</f>
        <v/>
      </c>
      <c r="Q74" s="438">
        <f>Q45</f>
        <v/>
      </c>
      <c r="R74" s="438">
        <f>R45</f>
        <v/>
      </c>
      <c r="S74" s="438">
        <f>S45</f>
        <v/>
      </c>
      <c r="T74" s="438">
        <f>T45</f>
        <v/>
      </c>
      <c r="U74" s="438">
        <f>U45</f>
        <v/>
      </c>
      <c r="V74" s="438">
        <f>V45</f>
        <v/>
      </c>
    </row>
    <row r="75">
      <c r="C75" s="200" t="inlineStr">
        <is>
          <t>% revenue</t>
        </is>
      </c>
      <c r="D75" s="199" t="n"/>
      <c r="E75" s="435" t="n"/>
      <c r="F75" s="437">
        <f>+F74/F60</f>
        <v/>
      </c>
      <c r="G75" s="437">
        <f>+G74/G60</f>
        <v/>
      </c>
      <c r="H75" s="437">
        <f>+H74/H60</f>
        <v/>
      </c>
      <c r="I75" s="437">
        <f>+I74/I60</f>
        <v/>
      </c>
      <c r="J75" s="437">
        <f>+J74/J60</f>
        <v/>
      </c>
      <c r="K75" s="437">
        <f>+K74/K60</f>
        <v/>
      </c>
      <c r="L75" s="437">
        <f>+L74/L60</f>
        <v/>
      </c>
      <c r="M75" s="437">
        <f>+M74/M60</f>
        <v/>
      </c>
      <c r="N75" s="437">
        <f>+N74/N60</f>
        <v/>
      </c>
      <c r="O75" s="437">
        <f>+O74/O60</f>
        <v/>
      </c>
      <c r="P75" s="437">
        <f>+P74/P60</f>
        <v/>
      </c>
      <c r="Q75" s="437">
        <f>+Q74/Q60</f>
        <v/>
      </c>
      <c r="R75" s="437">
        <f>+R74/R60</f>
        <v/>
      </c>
      <c r="S75" s="437">
        <f>+S74/S60</f>
        <v/>
      </c>
      <c r="T75" s="437">
        <f>+T74/T60</f>
        <v/>
      </c>
      <c r="U75" s="437">
        <f>+U74/U60</f>
        <v/>
      </c>
      <c r="V75" s="437">
        <f>+V74/V60</f>
        <v/>
      </c>
    </row>
    <row r="76">
      <c r="C76" s="307" t="inlineStr">
        <is>
          <t>Other Cashflows</t>
        </is>
      </c>
      <c r="D76" s="199" t="n"/>
      <c r="E76" s="435" t="n"/>
      <c r="F76" s="438">
        <f>+F49</f>
        <v/>
      </c>
      <c r="G76" s="438">
        <f>+G49</f>
        <v/>
      </c>
      <c r="H76" s="438">
        <f>+H49</f>
        <v/>
      </c>
      <c r="I76" s="438">
        <f>+I49</f>
        <v/>
      </c>
      <c r="J76" s="438">
        <f>+J49</f>
        <v/>
      </c>
      <c r="K76" s="438">
        <f>+K49</f>
        <v/>
      </c>
      <c r="L76" s="438">
        <f>+L49</f>
        <v/>
      </c>
      <c r="M76" s="438">
        <f>+M49</f>
        <v/>
      </c>
      <c r="N76" s="438">
        <f>+N49</f>
        <v/>
      </c>
      <c r="O76" s="438">
        <f>+O49</f>
        <v/>
      </c>
      <c r="P76" s="438">
        <f>+P49</f>
        <v/>
      </c>
      <c r="Q76" s="438">
        <f>+Q49</f>
        <v/>
      </c>
      <c r="R76" s="438">
        <f>+R49</f>
        <v/>
      </c>
      <c r="S76" s="438">
        <f>+S49</f>
        <v/>
      </c>
      <c r="T76" s="438">
        <f>+T49</f>
        <v/>
      </c>
      <c r="U76" s="438">
        <f>+U49</f>
        <v/>
      </c>
      <c r="V76" s="438">
        <f>+V49</f>
        <v/>
      </c>
    </row>
    <row r="77">
      <c r="C77" s="200" t="inlineStr">
        <is>
          <t>% revenue</t>
        </is>
      </c>
      <c r="D77" s="199" t="n"/>
      <c r="E77" s="435" t="n"/>
      <c r="F77" s="436">
        <f>IF(ISERROR(-F76/F$60),"n.a.",-F76/F$60)</f>
        <v/>
      </c>
      <c r="G77" s="436">
        <f>IF(ISERROR(-G76/G$60),"n.a.",-G76/G$60)</f>
        <v/>
      </c>
      <c r="H77" s="436">
        <f>IF(ISERROR(-H76/H$60),"n.a.",-H76/H$60)</f>
        <v/>
      </c>
      <c r="I77" s="436">
        <f>IF(ISERROR(-I76/I$60),"n.a.",-I76/I$60)</f>
        <v/>
      </c>
      <c r="J77" s="436">
        <f>IF(ISERROR(-J76/J$60),"n.a.",-J76/J$60)</f>
        <v/>
      </c>
      <c r="K77" s="436">
        <f>IF(ISERROR(-K76/K$60),"n.a.",-K76/K$60)</f>
        <v/>
      </c>
      <c r="L77" s="436">
        <f>IF(ISERROR(-L76/L$60),"n.a.",-L76/L$60)</f>
        <v/>
      </c>
      <c r="M77" s="436">
        <f>IF(ISERROR(-M76/M$60),"n.a.",-M76/M$60)</f>
        <v/>
      </c>
      <c r="N77" s="436">
        <f>IF(ISERROR(-N76/N$60),"n.a.",-N76/N$60)</f>
        <v/>
      </c>
      <c r="O77" s="436">
        <f>IF(ISERROR(-O76/O$60),"n.a.",-O76/O$60)</f>
        <v/>
      </c>
      <c r="P77" s="436">
        <f>IF(ISERROR(-P76/P$60),"n.a.",-P76/P$60)</f>
        <v/>
      </c>
      <c r="Q77" s="436">
        <f>IF(ISERROR(-Q76/Q$60),"n.a.",-Q76/Q$60)</f>
        <v/>
      </c>
      <c r="R77" s="436">
        <f>IF(ISERROR(-R76/R$60),"n.a.",-R76/R$60)</f>
        <v/>
      </c>
      <c r="S77" s="436">
        <f>IF(ISERROR(-S76/S$60),"n.a.",-S76/S$60)</f>
        <v/>
      </c>
      <c r="T77" s="436">
        <f>IF(ISERROR(-T76/T$60),"n.a.",-T76/T$60)</f>
        <v/>
      </c>
      <c r="U77" s="436">
        <f>IF(ISERROR(-U76/U$60),"n.a.",-U76/U$60)</f>
        <v/>
      </c>
      <c r="V77" s="436">
        <f>IF(ISERROR(-V76/V$60),"n.a.",-V76/V$60)</f>
        <v/>
      </c>
    </row>
    <row r="78">
      <c r="C78" s="307" t="inlineStr">
        <is>
          <t>Exceptional items</t>
        </is>
      </c>
      <c r="D78" s="199" t="n"/>
      <c r="E78" s="435" t="n"/>
      <c r="F78" s="438">
        <f>+F53</f>
        <v/>
      </c>
      <c r="G78" s="438">
        <f>+G53</f>
        <v/>
      </c>
      <c r="H78" s="438">
        <f>+H53</f>
        <v/>
      </c>
      <c r="I78" s="438">
        <f>+I53</f>
        <v/>
      </c>
      <c r="J78" s="438">
        <f>+J53</f>
        <v/>
      </c>
      <c r="K78" s="438">
        <f>+K53</f>
        <v/>
      </c>
      <c r="L78" s="438">
        <f>+L53</f>
        <v/>
      </c>
      <c r="M78" s="438">
        <f>+M53</f>
        <v/>
      </c>
      <c r="N78" s="438">
        <f>+N53</f>
        <v/>
      </c>
      <c r="O78" s="438">
        <f>+O53</f>
        <v/>
      </c>
      <c r="P78" s="438">
        <f>+P53</f>
        <v/>
      </c>
      <c r="Q78" s="438">
        <f>+Q53</f>
        <v/>
      </c>
      <c r="R78" s="438">
        <f>+R53</f>
        <v/>
      </c>
      <c r="S78" s="438">
        <f>+S53</f>
        <v/>
      </c>
      <c r="T78" s="438">
        <f>+T53</f>
        <v/>
      </c>
      <c r="U78" s="438">
        <f>+U53</f>
        <v/>
      </c>
      <c r="V78" s="438">
        <f>+V53</f>
        <v/>
      </c>
    </row>
    <row r="79">
      <c r="C79" s="314" t="inlineStr">
        <is>
          <t>% revenue</t>
        </is>
      </c>
      <c r="D79" s="315" t="n"/>
      <c r="E79" s="441" t="n"/>
      <c r="F79" s="442">
        <f>IF(ISERROR(-F78/F$60),"n.a.",-F78/F$60)</f>
        <v/>
      </c>
      <c r="G79" s="442">
        <f>IF(ISERROR(-G78/G$60),"n.a.",-G78/G$60)</f>
        <v/>
      </c>
      <c r="H79" s="442">
        <f>IF(ISERROR(-H78/H$60),"n.a.",-H78/H$60)</f>
        <v/>
      </c>
      <c r="I79" s="442">
        <f>IF(ISERROR(-I78/I$60),"n.a.",-I78/I$60)</f>
        <v/>
      </c>
      <c r="J79" s="442">
        <f>IF(ISERROR(-J78/J$60),"n.a.",-J78/J$60)</f>
        <v/>
      </c>
      <c r="K79" s="442">
        <f>IF(ISERROR(-K78/K$60),"n.a.",-K78/K$60)</f>
        <v/>
      </c>
      <c r="L79" s="442">
        <f>IF(ISERROR(-L78/L$60),"n.a.",-L78/L$60)</f>
        <v/>
      </c>
      <c r="M79" s="442">
        <f>IF(ISERROR(-M78/M$60),"n.a.",-M78/M$60)</f>
        <v/>
      </c>
      <c r="N79" s="442">
        <f>IF(ISERROR(-N78/N$60),"n.a.",-N78/N$60)</f>
        <v/>
      </c>
      <c r="O79" s="442">
        <f>IF(ISERROR(-O78/O$60),"n.a.",-O78/O$60)</f>
        <v/>
      </c>
      <c r="P79" s="442">
        <f>IF(ISERROR(-P78/P$60),"n.a.",-P78/P$60)</f>
        <v/>
      </c>
      <c r="Q79" s="442">
        <f>IF(ISERROR(-Q78/Q$60),"n.a.",-Q78/Q$60)</f>
        <v/>
      </c>
      <c r="R79" s="442">
        <f>IF(ISERROR(-R78/R$60),"n.a.",-R78/R$60)</f>
        <v/>
      </c>
      <c r="S79" s="442">
        <f>IF(ISERROR(-S78/S$60),"n.a.",-S78/S$60)</f>
        <v/>
      </c>
      <c r="T79" s="442">
        <f>IF(ISERROR(-T78/T$60),"n.a.",-T78/T$60)</f>
        <v/>
      </c>
      <c r="U79" s="442">
        <f>IF(ISERROR(-U78/U$60),"n.a.",-U78/U$60)</f>
        <v/>
      </c>
      <c r="V79" s="442">
        <f>IF(ISERROR(-V78/V$60),"n.a.",-V78/V$60)</f>
        <v/>
      </c>
    </row>
    <row r="80" ht="4.5" customHeight="1">
      <c r="C80" s="39" t="n"/>
      <c r="E80" s="420" t="n"/>
      <c r="F80" s="420" t="n"/>
      <c r="G80" s="420" t="n"/>
      <c r="H80" s="420" t="n"/>
      <c r="I80" s="420" t="n"/>
      <c r="J80" s="420" t="n"/>
      <c r="K80" s="420" t="n"/>
      <c r="L80" s="420" t="n"/>
      <c r="M80" s="420" t="n"/>
      <c r="N80" s="420" t="n"/>
    </row>
    <row r="85">
      <c r="L85" s="401" t="n"/>
    </row>
    <row r="92">
      <c r="L92" s="401" t="n"/>
    </row>
  </sheetData>
  <pageMargins left="0.7086614173228347" right="0.7086614173228347" top="0.7480314960629921" bottom="0.7480314960629921" header="0.3149606299212598" footer="0.3149606299212598"/>
  <pageSetup orientation="landscape" paperSize="9" scale="24" fitToHeight="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theme="3" tint="0.3999755851924192"/>
    <outlinePr summaryBelow="1" summaryRight="1"/>
    <pageSetUpPr/>
  </sheetPr>
  <dimension ref="C2:U127"/>
  <sheetViews>
    <sheetView showGridLines="0" zoomScaleNormal="100" zoomScaleSheetLayoutView="100" workbookViewId="0">
      <selection activeCell="I22" sqref="I22"/>
    </sheetView>
  </sheetViews>
  <sheetFormatPr baseColWidth="10" defaultColWidth="9.1640625" defaultRowHeight="13"/>
  <cols>
    <col width="3" customWidth="1" min="1" max="1"/>
    <col width="0.5" customWidth="1" min="2" max="3"/>
    <col width="11.33203125" customWidth="1" min="4" max="4"/>
    <col width="14.33203125" customWidth="1" min="5" max="20"/>
    <col width="2.83203125" customWidth="1" min="21" max="21"/>
  </cols>
  <sheetData>
    <row r="2" ht="12" customFormat="1" customHeight="1" s="7">
      <c r="D2" s="34" t="n"/>
    </row>
    <row r="3" ht="20" customHeight="1">
      <c r="D3" s="144" t="inlineStr">
        <is>
          <t>DCF</t>
        </is>
      </c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P3" s="145" t="n"/>
      <c r="Q3" s="145" t="n"/>
      <c r="R3" s="145" t="n"/>
      <c r="S3" s="145" t="n"/>
      <c r="T3" s="145" t="n"/>
      <c r="U3" s="145" t="n"/>
    </row>
    <row r="4" ht="4.5" customFormat="1" customHeight="1" s="7"/>
    <row r="5">
      <c r="D5" s="46" t="inlineStr">
        <is>
          <t>Key assumptions</t>
        </is>
      </c>
      <c r="E5" s="46" t="n"/>
      <c r="F5" s="46" t="n"/>
      <c r="G5" s="46" t="n"/>
      <c r="H5" s="46" t="n"/>
      <c r="I5" s="46" t="n"/>
      <c r="J5" s="46" t="n"/>
      <c r="K5" s="46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</row>
    <row r="6" ht="4.5" customHeight="1"/>
    <row r="7" ht="12.75" customHeight="1">
      <c r="D7" t="inlineStr">
        <is>
          <t>Transaction date</t>
        </is>
      </c>
      <c r="F7" s="111">
        <f>Assumptions!D12</f>
        <v/>
      </c>
      <c r="S7" s="303" t="n"/>
      <c r="T7" s="303" t="n"/>
    </row>
    <row r="8" ht="12.75" customHeight="1">
      <c r="D8" t="inlineStr">
        <is>
          <t>Next financial YE</t>
        </is>
      </c>
      <c r="F8" s="112">
        <f>EDATE(F7,12)</f>
        <v/>
      </c>
      <c r="S8" s="303" t="n"/>
      <c r="T8" s="303" t="n"/>
    </row>
    <row r="9" ht="12.75" customHeight="1">
      <c r="D9" t="inlineStr">
        <is>
          <t>Perpetuity growth rate</t>
        </is>
      </c>
      <c r="F9" s="443">
        <f>Assumptions!$D$34</f>
        <v/>
      </c>
      <c r="H9" s="330" t="inlineStr">
        <is>
          <t>&lt;&lt;&lt; Put down the assumptions after discussing with your senior</t>
        </is>
      </c>
      <c r="I9" s="330" t="n"/>
      <c r="J9" s="330" t="n"/>
      <c r="K9" s="330" t="n"/>
      <c r="S9" s="303" t="n"/>
      <c r="T9" s="303" t="n"/>
    </row>
    <row r="10" ht="12.75" customHeight="1">
      <c r="D10" t="inlineStr">
        <is>
          <t>TV exit EBITDA multiple</t>
        </is>
      </c>
      <c r="F10" s="444">
        <f>Assumptions!$D$35</f>
        <v/>
      </c>
      <c r="S10" s="303" t="n"/>
      <c r="T10" s="303" t="n"/>
    </row>
    <row r="11" ht="12.75" customHeight="1">
      <c r="D11" t="inlineStr">
        <is>
          <t>WACC used for sensitivity analysis</t>
        </is>
      </c>
      <c r="F11" s="443">
        <f>Assumptions!$D$33</f>
        <v/>
      </c>
    </row>
    <row r="12" ht="12.75" customHeight="1">
      <c r="F12" s="445" t="n"/>
    </row>
    <row r="13" ht="12.75" customHeight="1">
      <c r="H13" s="330" t="inlineStr">
        <is>
          <t>Below fill in the blanks by linking from the Financials tab</t>
        </is>
      </c>
      <c r="I13" s="330" t="n"/>
      <c r="J13" s="330" t="n"/>
      <c r="K13" s="330" t="n"/>
      <c r="L13" s="345" t="inlineStr">
        <is>
          <t>update formula, growth is expressed vs previous year and margin is vs sales</t>
        </is>
      </c>
      <c r="M13" s="345" t="n"/>
      <c r="N13" s="345" t="n"/>
      <c r="O13" s="345" t="n"/>
      <c r="P13" s="345" t="n"/>
      <c r="Q13" s="354" t="inlineStr">
        <is>
          <t xml:space="preserve">update as noted </t>
        </is>
      </c>
    </row>
    <row r="14" ht="12.75" customHeight="1">
      <c r="D14" s="42" t="inlineStr">
        <is>
          <t>DCF FCF Calculation</t>
        </is>
      </c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</row>
    <row r="15" ht="4.5" customHeight="1"/>
    <row r="16" customFormat="1" s="28"/>
    <row r="17" customFormat="1" s="28">
      <c r="C17" s="28" t="inlineStr">
        <is>
          <t>Stub period</t>
        </is>
      </c>
      <c r="G17" s="446">
        <f>G22-$F$7</f>
        <v/>
      </c>
      <c r="H17" s="446">
        <f>H22-$F$7</f>
        <v/>
      </c>
      <c r="I17" s="446">
        <f>I22-$F$7</f>
        <v/>
      </c>
      <c r="J17" s="446">
        <f>J22-$F$7</f>
        <v/>
      </c>
      <c r="K17" s="446">
        <f>K22-$F$7</f>
        <v/>
      </c>
      <c r="L17" s="446">
        <f>L22-$F$7</f>
        <v/>
      </c>
      <c r="M17" s="446">
        <f>M22-$F$7</f>
        <v/>
      </c>
      <c r="N17" s="446">
        <f>N22-$F$7</f>
        <v/>
      </c>
      <c r="O17" s="446">
        <f>O22-$F$7</f>
        <v/>
      </c>
      <c r="P17" s="446">
        <f>P22-$F$7</f>
        <v/>
      </c>
      <c r="Q17" s="446">
        <f>Q22-$F$7</f>
        <v/>
      </c>
      <c r="R17" s="446">
        <f>R22-$F$7</f>
        <v/>
      </c>
      <c r="S17" s="446">
        <f>S22-$F$7</f>
        <v/>
      </c>
      <c r="T17" s="446" t="n"/>
      <c r="U17" s="105" t="n"/>
    </row>
    <row r="18" customFormat="1" s="28">
      <c r="C18" s="28" t="inlineStr">
        <is>
          <t>Stub factor</t>
        </is>
      </c>
      <c r="G18" s="105">
        <f>IF(G17&lt;0,100%,IF(G17&gt;365.25,0,1-((G22-$F$7)/365.25)))</f>
        <v/>
      </c>
      <c r="H18" s="105">
        <f>IF(H17&lt;0,100%,IF(H17&gt;365.25,0,1-((H22-$F$7)/365.25)))</f>
        <v/>
      </c>
      <c r="I18" s="105">
        <f>IF(I17&lt;0,100%,IF(I17&gt;365.25,0,1-((I22-$F$7)/365.25)))</f>
        <v/>
      </c>
      <c r="J18" s="447">
        <f>IF(J17&lt;0,100%,IF(J17&gt;365.25,0,1-((J22-$F$7)/365.25)))</f>
        <v/>
      </c>
      <c r="K18" s="105">
        <f>IF(K17&lt;0,100%,IF(K17&gt;365.25,0,1-((K22-$F$7)/365.25)))</f>
        <v/>
      </c>
      <c r="L18" s="105">
        <f>IF(L17&lt;0,100%,IF(L17&gt;365.25,0,1-((L22-$F$7)/365.25)))</f>
        <v/>
      </c>
      <c r="M18" s="105">
        <f>IF(M17&lt;0,100%,IF(M17&gt;365.25,0,1-((M22-$F$7)/365.25)))</f>
        <v/>
      </c>
      <c r="N18" s="105">
        <f>IF(N17&lt;0,100%,IF(N17&gt;365.25,0,1-((N22-$F$7)/365.25)))</f>
        <v/>
      </c>
      <c r="O18" s="105">
        <f>IF(O17&lt;0,100%,IF(O17&gt;365.25,0,1-((O22-$F$7)/365.25)))</f>
        <v/>
      </c>
      <c r="P18" s="105">
        <f>IF(P17&lt;0,100%,IF(P17&gt;365.25,0,1-((P22-$F$7)/365.25)))</f>
        <v/>
      </c>
      <c r="Q18" s="105">
        <f>IF(Q17&lt;0,100%,IF(Q17&gt;365.25,0,1-((Q22-$F$7)/365.25)))</f>
        <v/>
      </c>
      <c r="R18" s="105">
        <f>IF(R17&lt;0,100%,IF(R17&gt;365.25,0,1-((R22-$F$7)/365.25)))</f>
        <v/>
      </c>
      <c r="S18" s="105">
        <f>IF(S17&lt;0,100%,IF(S17&gt;365.25,0,1-((S22-$F$7)/365.25)))</f>
        <v/>
      </c>
      <c r="T18" s="105" t="n"/>
      <c r="U18" s="105" t="n"/>
    </row>
    <row r="19" customFormat="1" s="28"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</row>
    <row r="20">
      <c r="D20" s="7" t="n"/>
      <c r="F20" s="244" t="inlineStr">
        <is>
          <t>Actuals</t>
        </is>
      </c>
      <c r="G20" s="244" t="n"/>
      <c r="H20" s="244" t="n"/>
      <c r="I20" s="101" t="inlineStr">
        <is>
          <t>Estimates</t>
        </is>
      </c>
      <c r="J20" s="101" t="n"/>
      <c r="K20" s="101" t="n"/>
      <c r="L20" s="101" t="n"/>
      <c r="M20" s="101" t="n"/>
      <c r="N20" s="101" t="n"/>
      <c r="O20" s="101" t="n"/>
      <c r="P20" s="101" t="n"/>
      <c r="Q20" s="101" t="n"/>
      <c r="R20" s="101" t="n"/>
      <c r="S20" s="101" t="n"/>
      <c r="T20" s="87" t="n"/>
    </row>
    <row r="21" ht="4.5" customHeight="1"/>
    <row r="22" ht="12.75" customHeight="1">
      <c r="D22" s="36">
        <f>TEXT(Assumptions!$D$11,"mmmm")&amp;" YE ($mm)"</f>
        <v/>
      </c>
      <c r="E22" s="36" t="n"/>
      <c r="F22" s="402">
        <f>' Financials'!I58</f>
        <v/>
      </c>
      <c r="G22" s="402">
        <f>' Financials'!J58</f>
        <v/>
      </c>
      <c r="H22" s="448">
        <f>' Financials'!K58</f>
        <v/>
      </c>
      <c r="I22" s="404">
        <f>' Financials'!L58</f>
        <v/>
      </c>
      <c r="J22" s="404">
        <f>' Financials'!M58</f>
        <v/>
      </c>
      <c r="K22" s="404">
        <f>' Financials'!N58</f>
        <v/>
      </c>
      <c r="L22" s="404">
        <f>' Financials'!O58</f>
        <v/>
      </c>
      <c r="M22" s="404">
        <f>' Financials'!P58</f>
        <v/>
      </c>
      <c r="N22" s="404">
        <f>' Financials'!Q58</f>
        <v/>
      </c>
      <c r="O22" s="404">
        <f>' Financials'!R58</f>
        <v/>
      </c>
      <c r="P22" s="404">
        <f>' Financials'!S58</f>
        <v/>
      </c>
      <c r="Q22" s="404">
        <f>' Financials'!T58</f>
        <v/>
      </c>
      <c r="R22" s="404">
        <f>' Financials'!U58</f>
        <v/>
      </c>
      <c r="S22" s="404">
        <f>' Financials'!V58</f>
        <v/>
      </c>
      <c r="T22" s="404" t="n"/>
      <c r="U22" s="449" t="n"/>
    </row>
    <row r="23" customFormat="1" s="53">
      <c r="H23" s="72" t="n"/>
    </row>
    <row r="24">
      <c r="D24" t="inlineStr">
        <is>
          <t>Revenue</t>
        </is>
      </c>
      <c r="F24" s="410" t="n"/>
      <c r="G24" s="410" t="n"/>
      <c r="H24" s="450" t="n"/>
      <c r="I24" s="410" t="n">
        <v>1149.23</v>
      </c>
      <c r="J24" s="410" t="n">
        <v>1255.63</v>
      </c>
      <c r="K24" s="410" t="n">
        <v>1353.84</v>
      </c>
      <c r="L24" s="410" t="n">
        <v>1446.98</v>
      </c>
      <c r="M24" s="410" t="n">
        <v>1442.62</v>
      </c>
      <c r="N24" s="410">
        <f>M24*(1+N25)</f>
        <v/>
      </c>
      <c r="O24" s="410">
        <f>N24*(1+O25)</f>
        <v/>
      </c>
      <c r="P24" s="410">
        <f>O24*(1+P25)</f>
        <v/>
      </c>
      <c r="Q24" s="410">
        <f>P24*(1+Q25)</f>
        <v/>
      </c>
      <c r="R24" s="410">
        <f>Q24*(1+R25)</f>
        <v/>
      </c>
      <c r="S24" s="410">
        <f>R24*(1+S25)</f>
        <v/>
      </c>
      <c r="T24" s="451" t="n"/>
    </row>
    <row r="25">
      <c r="C25" s="53" t="n"/>
      <c r="D25" s="53" t="inlineStr">
        <is>
          <t>% growth</t>
        </is>
      </c>
      <c r="E25" s="53" t="n"/>
      <c r="F25" s="341" t="n"/>
      <c r="G25" s="452" t="n"/>
      <c r="H25" s="453" t="n"/>
      <c r="I25" s="454" t="n">
        <v>0</v>
      </c>
      <c r="J25" s="454" t="n">
        <v>0</v>
      </c>
      <c r="K25" s="454" t="n">
        <v>0</v>
      </c>
      <c r="L25" s="454" t="n">
        <v>0</v>
      </c>
      <c r="M25" s="454" t="n">
        <v>0</v>
      </c>
      <c r="N25" s="454">
        <f>Assumptions!$D$27</f>
        <v/>
      </c>
      <c r="O25" s="454">
        <f>Assumptions!$D$27</f>
        <v/>
      </c>
      <c r="P25" s="454">
        <f>Assumptions!$D$27</f>
        <v/>
      </c>
      <c r="Q25" s="454">
        <f>Assumptions!$D$27</f>
        <v/>
      </c>
      <c r="R25" s="454">
        <f>Assumptions!$D$27</f>
        <v/>
      </c>
      <c r="S25" s="454">
        <f>Assumptions!$D$27</f>
        <v/>
      </c>
      <c r="T25" s="455" t="n"/>
    </row>
    <row r="26" customFormat="1" s="53">
      <c r="H26" s="72" t="n"/>
    </row>
    <row r="27" customFormat="1" s="53">
      <c r="D27" t="inlineStr">
        <is>
          <t>EBITDA</t>
        </is>
      </c>
      <c r="F27" s="410" t="n"/>
      <c r="G27" s="410" t="n"/>
      <c r="H27" s="450" t="n"/>
      <c r="I27" s="410" t="n">
        <v>94.15000000000001</v>
      </c>
      <c r="J27" s="410" t="n">
        <v>92.62</v>
      </c>
      <c r="K27" s="410" t="n">
        <v>111.8</v>
      </c>
      <c r="L27" s="410" t="n">
        <v>124.4</v>
      </c>
      <c r="M27" s="410" t="n">
        <v>127.57</v>
      </c>
      <c r="N27" s="410">
        <f>N24*N28</f>
        <v/>
      </c>
      <c r="O27" s="410">
        <f>O24*O28</f>
        <v/>
      </c>
      <c r="P27" s="410">
        <f>P24*P28</f>
        <v/>
      </c>
      <c r="Q27" s="410">
        <f>Q24*Q28</f>
        <v/>
      </c>
      <c r="R27" s="410">
        <f>R24*R28</f>
        <v/>
      </c>
      <c r="S27" s="410">
        <f>S24*S28</f>
        <v/>
      </c>
      <c r="T27" s="451" t="n"/>
    </row>
    <row r="28">
      <c r="C28" s="53" t="n"/>
      <c r="D28" s="53" t="inlineStr">
        <is>
          <t>% margin</t>
        </is>
      </c>
      <c r="E28" s="53" t="n"/>
      <c r="F28" s="454" t="n"/>
      <c r="G28" s="454" t="n"/>
      <c r="H28" s="456" t="n"/>
      <c r="I28" s="454" t="n">
        <v>0.0819244189587811</v>
      </c>
      <c r="J28" s="454" t="n">
        <v>0.07376376798897764</v>
      </c>
      <c r="K28" s="454" t="n">
        <v>0.08257992081782191</v>
      </c>
      <c r="L28" s="454" t="n">
        <v>0.08597216271130216</v>
      </c>
      <c r="M28" s="454" t="n">
        <v>0.08842938542374291</v>
      </c>
      <c r="N28" s="454">
        <f>Assumptions!$D$28</f>
        <v/>
      </c>
      <c r="O28" s="454">
        <f>Assumptions!$D$28</f>
        <v/>
      </c>
      <c r="P28" s="454">
        <f>Assumptions!$D$28</f>
        <v/>
      </c>
      <c r="Q28" s="454">
        <f>Assumptions!$D$28</f>
        <v/>
      </c>
      <c r="R28" s="454">
        <f>Assumptions!$D$28</f>
        <v/>
      </c>
      <c r="S28" s="454">
        <f>Assumptions!$D$28</f>
        <v/>
      </c>
      <c r="T28" s="455" t="n"/>
    </row>
    <row r="29">
      <c r="C29" s="53" t="n"/>
      <c r="D29" s="53" t="inlineStr">
        <is>
          <t>% growth</t>
        </is>
      </c>
      <c r="E29" s="53" t="n"/>
      <c r="F29" s="341" t="n"/>
      <c r="G29" s="452" t="n"/>
      <c r="H29" s="453" t="n"/>
      <c r="I29" s="454" t="n"/>
      <c r="J29" s="454" t="n"/>
      <c r="K29" s="454" t="n"/>
      <c r="L29" s="454" t="n"/>
      <c r="M29" s="454" t="n"/>
      <c r="N29" s="454" t="n"/>
      <c r="O29" s="454" t="n"/>
      <c r="P29" s="454" t="n"/>
      <c r="Q29" s="454" t="n"/>
      <c r="R29" s="454" t="n"/>
      <c r="S29" s="454" t="n"/>
      <c r="T29" s="455" t="n"/>
    </row>
    <row r="30" customFormat="1" s="53">
      <c r="H30" s="72" t="n"/>
    </row>
    <row r="31" customFormat="1" s="53">
      <c r="D31" t="inlineStr">
        <is>
          <t>D&amp;A</t>
        </is>
      </c>
      <c r="F31" s="410" t="n"/>
      <c r="G31" s="410" t="n"/>
      <c r="H31" s="450" t="n"/>
      <c r="I31" s="410" t="n">
        <v>-36.13</v>
      </c>
      <c r="J31" s="410" t="n">
        <v>-40.46</v>
      </c>
      <c r="K31" s="410" t="n">
        <v>-47.2</v>
      </c>
      <c r="L31" s="410" t="n">
        <v>-51.83</v>
      </c>
      <c r="M31" s="410" t="n">
        <v>-54.8</v>
      </c>
      <c r="N31" s="410">
        <f>-N24*Assumptions!$D$29</f>
        <v/>
      </c>
      <c r="O31" s="410">
        <f>-O24*Assumptions!$D$29</f>
        <v/>
      </c>
      <c r="P31" s="410">
        <f>-P24*Assumptions!$D$29</f>
        <v/>
      </c>
      <c r="Q31" s="410">
        <f>-Q24*Assumptions!$D$29</f>
        <v/>
      </c>
      <c r="R31" s="410">
        <f>-R24*Assumptions!$D$29</f>
        <v/>
      </c>
      <c r="S31" s="410">
        <f>-S24*Assumptions!$D$29</f>
        <v/>
      </c>
      <c r="T31" s="451" t="n"/>
    </row>
    <row r="32">
      <c r="C32" s="53" t="n"/>
      <c r="D32" s="53" t="inlineStr">
        <is>
          <t>% sales</t>
        </is>
      </c>
      <c r="E32" s="53" t="n"/>
      <c r="F32" s="454" t="n"/>
      <c r="G32" s="454" t="n"/>
      <c r="H32" s="456" t="n"/>
      <c r="I32" s="454" t="n">
        <v>0.03143844139119237</v>
      </c>
      <c r="J32" s="454" t="n">
        <v>0.0322228682016199</v>
      </c>
      <c r="K32" s="454" t="n">
        <v>0.03486379483543108</v>
      </c>
      <c r="L32" s="454" t="n">
        <v>0.03581943081452404</v>
      </c>
      <c r="M32" s="454" t="n">
        <v>0.03798644133590273</v>
      </c>
      <c r="N32" s="454">
        <f>Assumptions!$D$29</f>
        <v/>
      </c>
      <c r="O32" s="454">
        <f>Assumptions!$D$29</f>
        <v/>
      </c>
      <c r="P32" s="454">
        <f>Assumptions!$D$29</f>
        <v/>
      </c>
      <c r="Q32" s="454">
        <f>Assumptions!$D$29</f>
        <v/>
      </c>
      <c r="R32" s="454">
        <f>Assumptions!$D$29</f>
        <v/>
      </c>
      <c r="S32" s="454">
        <f>Assumptions!$D$29</f>
        <v/>
      </c>
      <c r="T32" s="455" t="n"/>
    </row>
    <row r="33">
      <c r="C33" s="53" t="n"/>
      <c r="D33" s="53" t="inlineStr">
        <is>
          <t>% of capex</t>
        </is>
      </c>
      <c r="E33" s="53" t="n"/>
      <c r="F33" s="457" t="n"/>
      <c r="G33" s="457" t="n"/>
      <c r="H33" s="458" t="n"/>
      <c r="I33" s="457" t="n">
        <v>1.003611111111111</v>
      </c>
      <c r="J33" s="457" t="n">
        <v>0.7933333333333333</v>
      </c>
      <c r="K33" s="457" t="n">
        <v>0.9440000000000001</v>
      </c>
      <c r="L33" s="457" t="n">
        <v>1.0366</v>
      </c>
      <c r="M33" s="457" t="n">
        <v>1.096</v>
      </c>
      <c r="N33" s="457" t="n"/>
      <c r="O33" s="457" t="n"/>
      <c r="P33" s="457" t="n"/>
      <c r="Q33" s="457" t="n"/>
      <c r="R33" s="457" t="n"/>
      <c r="S33" s="457" t="n"/>
      <c r="T33" s="455" t="n"/>
    </row>
    <row r="34" customFormat="1" s="53">
      <c r="H34" s="72" t="n"/>
    </row>
    <row r="35" customFormat="1" s="53">
      <c r="D35" t="inlineStr">
        <is>
          <t>EBIT</t>
        </is>
      </c>
      <c r="F35" s="375">
        <f>F27+F31</f>
        <v/>
      </c>
      <c r="G35" s="375">
        <f>G27+G31</f>
        <v/>
      </c>
      <c r="H35" s="459">
        <f>H27+H31</f>
        <v/>
      </c>
      <c r="I35" s="375" t="n">
        <v>58.02</v>
      </c>
      <c r="J35" s="375" t="n">
        <v>52.16</v>
      </c>
      <c r="K35" s="375" t="n">
        <v>64.59999999999999</v>
      </c>
      <c r="L35" s="375" t="n">
        <v>72.57000000000001</v>
      </c>
      <c r="M35" s="375" t="n">
        <v>72.77</v>
      </c>
      <c r="N35" s="375">
        <f>N27+N31</f>
        <v/>
      </c>
      <c r="O35" s="375">
        <f>O27+O31</f>
        <v/>
      </c>
      <c r="P35" s="375">
        <f>P27+P31</f>
        <v/>
      </c>
      <c r="Q35" s="375">
        <f>Q27+Q31</f>
        <v/>
      </c>
      <c r="R35" s="375">
        <f>R27+R31</f>
        <v/>
      </c>
      <c r="S35" s="375">
        <f>S27+S31</f>
        <v/>
      </c>
      <c r="T35" s="375" t="n"/>
    </row>
    <row r="36">
      <c r="C36" s="53" t="n"/>
      <c r="D36" s="53" t="inlineStr">
        <is>
          <t>% margin</t>
        </is>
      </c>
      <c r="E36" s="53" t="n"/>
      <c r="F36" s="454" t="n"/>
      <c r="G36" s="454" t="n"/>
      <c r="H36" s="456" t="n"/>
      <c r="I36" s="454" t="n">
        <v>0.05048597756758873</v>
      </c>
      <c r="J36" s="454" t="n">
        <v>0.04154089978735774</v>
      </c>
      <c r="K36" s="454" t="n">
        <v>0.04771612598239083</v>
      </c>
      <c r="L36" s="454" t="n">
        <v>0.05015273189677812</v>
      </c>
      <c r="M36" s="454" t="n">
        <v>0.05044294408784018</v>
      </c>
      <c r="N36" s="454">
        <f>N35/N24</f>
        <v/>
      </c>
      <c r="O36" s="454">
        <f>O35/O24</f>
        <v/>
      </c>
      <c r="P36" s="454">
        <f>P35/P24</f>
        <v/>
      </c>
      <c r="Q36" s="454">
        <f>Q35/Q24</f>
        <v/>
      </c>
      <c r="R36" s="454">
        <f>R35/R24</f>
        <v/>
      </c>
      <c r="S36" s="454">
        <f>S35/S24</f>
        <v/>
      </c>
      <c r="T36" s="455" t="n"/>
    </row>
    <row r="37">
      <c r="C37" s="53" t="n"/>
      <c r="D37" s="53" t="inlineStr">
        <is>
          <t>% growth</t>
        </is>
      </c>
      <c r="E37" s="53" t="n"/>
      <c r="F37" s="341" t="n"/>
      <c r="G37" s="452" t="n"/>
      <c r="H37" s="453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455" t="n"/>
    </row>
    <row r="38" customFormat="1" s="53">
      <c r="H38" s="72" t="n"/>
    </row>
    <row r="39">
      <c r="D39" t="inlineStr">
        <is>
          <t>Tax</t>
        </is>
      </c>
      <c r="F39" s="372" t="n"/>
      <c r="G39" s="372" t="n"/>
      <c r="H39" s="460" t="n"/>
      <c r="I39" s="461" t="n">
        <v>-11.0238</v>
      </c>
      <c r="J39" s="461" t="n">
        <v>-9.910400000000001</v>
      </c>
      <c r="K39" s="461" t="n">
        <v>-12.274</v>
      </c>
      <c r="L39" s="461" t="n">
        <v>-13.7883</v>
      </c>
      <c r="M39" s="461" t="n">
        <v>-13.8263</v>
      </c>
      <c r="N39" s="461">
        <f>-N35*N40</f>
        <v/>
      </c>
      <c r="O39" s="461">
        <f>-O35*O40</f>
        <v/>
      </c>
      <c r="P39" s="461">
        <f>-P35*P40</f>
        <v/>
      </c>
      <c r="Q39" s="461">
        <f>-Q35*Q40</f>
        <v/>
      </c>
      <c r="R39" s="461">
        <f>-R35*R40</f>
        <v/>
      </c>
      <c r="S39" s="461">
        <f>-S35*S40</f>
        <v/>
      </c>
      <c r="T39" s="461" t="inlineStr">
        <is>
          <t>&lt;&lt; EBIT*tax rate</t>
        </is>
      </c>
    </row>
    <row r="40">
      <c r="C40" s="53" t="n"/>
      <c r="D40" s="53" t="inlineStr">
        <is>
          <t>% tax rate</t>
        </is>
      </c>
      <c r="E40" s="53" t="n"/>
      <c r="F40" s="462" t="n"/>
      <c r="G40" s="462" t="n"/>
      <c r="H40" s="463" t="n"/>
      <c r="I40" s="464" t="n">
        <v>0.19</v>
      </c>
      <c r="J40" s="464" t="n">
        <v>0.19</v>
      </c>
      <c r="K40" s="464" t="n">
        <v>0.19</v>
      </c>
      <c r="L40" s="464" t="n">
        <v>0.19</v>
      </c>
      <c r="M40" s="464" t="n">
        <v>0.19</v>
      </c>
      <c r="N40" s="464">
        <f>Assumptions!$D$32</f>
        <v/>
      </c>
      <c r="O40" s="464">
        <f>Assumptions!$D$32</f>
        <v/>
      </c>
      <c r="P40" s="464">
        <f>Assumptions!$D$32</f>
        <v/>
      </c>
      <c r="Q40" s="464">
        <f>Assumptions!$D$32</f>
        <v/>
      </c>
      <c r="R40" s="464">
        <f>Assumptions!$D$32</f>
        <v/>
      </c>
      <c r="S40" s="464">
        <f>Assumptions!$D$32</f>
        <v/>
      </c>
      <c r="T40" s="462" t="n"/>
    </row>
    <row r="41" customFormat="1" s="53">
      <c r="H41" s="72" t="n"/>
    </row>
    <row r="42" customFormat="1" s="53">
      <c r="D42" t="inlineStr">
        <is>
          <t>EBIAT</t>
        </is>
      </c>
      <c r="F42" s="372" t="n"/>
      <c r="G42" s="372" t="n"/>
      <c r="H42" s="460" t="n"/>
      <c r="I42" s="461" t="n">
        <v>46.99620000000001</v>
      </c>
      <c r="J42" s="461" t="n">
        <v>42.24960000000001</v>
      </c>
      <c r="K42" s="465" t="n">
        <v>52.326</v>
      </c>
      <c r="L42" s="461" t="n">
        <v>58.78170000000001</v>
      </c>
      <c r="M42" s="461" t="n">
        <v>58.9437</v>
      </c>
      <c r="N42" s="461">
        <f>N35+N39</f>
        <v/>
      </c>
      <c r="O42" s="461">
        <f>O35+O39</f>
        <v/>
      </c>
      <c r="P42" s="461">
        <f>P35+P39</f>
        <v/>
      </c>
      <c r="Q42" s="461">
        <f>Q35+Q39</f>
        <v/>
      </c>
      <c r="R42" s="461">
        <f>R35+R39</f>
        <v/>
      </c>
      <c r="S42" s="461">
        <f>S35+S39</f>
        <v/>
      </c>
      <c r="T42" s="461" t="inlineStr">
        <is>
          <t>&lt;&lt; EBIT+tax</t>
        </is>
      </c>
    </row>
    <row r="43">
      <c r="C43" s="53" t="n"/>
      <c r="D43" s="53" t="inlineStr">
        <is>
          <t>% margin</t>
        </is>
      </c>
      <c r="E43" s="53" t="n"/>
      <c r="F43" s="455" t="n"/>
      <c r="G43" s="455" t="n"/>
      <c r="H43" s="466" t="n"/>
      <c r="I43" s="454" t="n"/>
      <c r="J43" s="454" t="n"/>
      <c r="K43" s="454" t="n"/>
      <c r="L43" s="454" t="n"/>
      <c r="M43" s="454" t="n"/>
      <c r="N43" s="454">
        <f>N42/N24</f>
        <v/>
      </c>
      <c r="O43" s="454">
        <f>O42/O24</f>
        <v/>
      </c>
      <c r="P43" s="454">
        <f>P42/P24</f>
        <v/>
      </c>
      <c r="Q43" s="454">
        <f>Q42/Q24</f>
        <v/>
      </c>
      <c r="R43" s="454">
        <f>R42/R24</f>
        <v/>
      </c>
      <c r="S43" s="454">
        <f>S42/S24</f>
        <v/>
      </c>
      <c r="T43" s="455" t="n"/>
    </row>
    <row r="44">
      <c r="C44" s="53" t="n"/>
      <c r="D44" s="53" t="inlineStr">
        <is>
          <t>% growth</t>
        </is>
      </c>
      <c r="E44" s="53" t="n"/>
      <c r="F44" s="53" t="n"/>
      <c r="G44" s="467" t="n"/>
      <c r="H44" s="468" t="n"/>
      <c r="I44" s="469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454" t="n"/>
      <c r="T44" s="455" t="n"/>
    </row>
    <row r="45">
      <c r="H45" s="72" t="n"/>
    </row>
    <row r="46">
      <c r="D46" t="inlineStr">
        <is>
          <t>D&amp;A</t>
        </is>
      </c>
      <c r="F46" s="372" t="n"/>
      <c r="G46" s="372" t="n"/>
      <c r="H46" s="460" t="n"/>
      <c r="I46" s="372" t="n">
        <v>36.13</v>
      </c>
      <c r="J46" s="461" t="n">
        <v>40.46</v>
      </c>
      <c r="K46" s="461" t="n">
        <v>47.2</v>
      </c>
      <c r="L46" s="461" t="n">
        <v>51.83</v>
      </c>
      <c r="M46" s="461" t="n">
        <v>54.8</v>
      </c>
      <c r="N46" s="461">
        <f>-N31</f>
        <v/>
      </c>
      <c r="O46" s="461">
        <f>-O31</f>
        <v/>
      </c>
      <c r="P46" s="461">
        <f>-P31</f>
        <v/>
      </c>
      <c r="Q46" s="461">
        <f>-Q31</f>
        <v/>
      </c>
      <c r="R46" s="461">
        <f>-R31</f>
        <v/>
      </c>
      <c r="S46" s="461">
        <f>-S31</f>
        <v/>
      </c>
      <c r="T46" s="470" t="n"/>
    </row>
    <row r="47" customFormat="1" s="53">
      <c r="H47" s="72" t="n"/>
      <c r="K47" s="471" t="n"/>
      <c r="L47" s="471" t="n"/>
      <c r="M47" s="471" t="n"/>
      <c r="N47" s="471" t="n"/>
      <c r="O47" s="471" t="n"/>
      <c r="P47" s="471" t="n"/>
      <c r="Q47" s="471" t="n"/>
      <c r="R47" s="471" t="n"/>
      <c r="S47" s="471" t="n"/>
      <c r="T47" s="350" t="n"/>
    </row>
    <row r="48" customFormat="1" s="53">
      <c r="D48" t="inlineStr">
        <is>
          <t>Capex</t>
        </is>
      </c>
      <c r="F48" s="410" t="n"/>
      <c r="G48" s="410" t="n"/>
      <c r="H48" s="450" t="n"/>
      <c r="I48" s="410" t="n">
        <v>-36</v>
      </c>
      <c r="J48" s="410" t="n">
        <v>-51</v>
      </c>
      <c r="K48" s="410" t="n">
        <v>-50</v>
      </c>
      <c r="L48" s="410" t="n">
        <v>-50</v>
      </c>
      <c r="M48" s="410" t="n">
        <v>-50</v>
      </c>
      <c r="N48" s="410">
        <f>N49*N24</f>
        <v/>
      </c>
      <c r="O48" s="410">
        <f>O49*O24</f>
        <v/>
      </c>
      <c r="P48" s="410">
        <f>P49*P24</f>
        <v/>
      </c>
      <c r="Q48" s="410">
        <f>Q49*Q24</f>
        <v/>
      </c>
      <c r="R48" s="410">
        <f>R49*R24</f>
        <v/>
      </c>
      <c r="S48" s="410">
        <f>S49*S24</f>
        <v/>
      </c>
      <c r="T48" s="470" t="n"/>
    </row>
    <row r="49">
      <c r="C49" s="53" t="n"/>
      <c r="D49" s="53" t="inlineStr">
        <is>
          <t>% sales</t>
        </is>
      </c>
      <c r="E49" s="53" t="n"/>
      <c r="F49" s="454" t="n"/>
      <c r="G49" s="454" t="n"/>
      <c r="H49" s="456" t="n"/>
      <c r="I49" s="454" t="n">
        <v>-0.03132532217223706</v>
      </c>
      <c r="J49" s="454" t="n">
        <v>-0.04061706075834441</v>
      </c>
      <c r="K49" s="454" t="n">
        <v>-0.03693198605448206</v>
      </c>
      <c r="L49" s="454" t="n">
        <v>-0.03455472777785457</v>
      </c>
      <c r="M49" s="454" t="n">
        <v>-0.03465916180283096</v>
      </c>
      <c r="N49" s="454">
        <f>-Assumptions!$D$30</f>
        <v/>
      </c>
      <c r="O49" s="454">
        <f>-Assumptions!$D$30</f>
        <v/>
      </c>
      <c r="P49" s="454">
        <f>-Assumptions!$D$30</f>
        <v/>
      </c>
      <c r="Q49" s="454">
        <f>-Assumptions!$D$30</f>
        <v/>
      </c>
      <c r="R49" s="454">
        <f>-Assumptions!$D$30</f>
        <v/>
      </c>
      <c r="S49" s="454">
        <f>-Assumptions!$D$30</f>
        <v/>
      </c>
      <c r="T49" s="472" t="n"/>
    </row>
    <row r="50">
      <c r="C50" s="53" t="n"/>
      <c r="D50" s="53" t="inlineStr">
        <is>
          <t>% D&amp;A</t>
        </is>
      </c>
      <c r="E50" s="53" t="n"/>
      <c r="F50" s="454" t="n"/>
      <c r="G50" s="454" t="n"/>
      <c r="H50" s="456" t="n"/>
      <c r="I50" s="454" t="n">
        <v>1.003611111111111</v>
      </c>
      <c r="J50" s="454" t="n">
        <v>0.7933333333333333</v>
      </c>
      <c r="K50" s="454" t="n">
        <v>0.9440000000000001</v>
      </c>
      <c r="L50" s="454" t="n">
        <v>1.0366</v>
      </c>
      <c r="M50" s="454" t="n">
        <v>1.096</v>
      </c>
      <c r="N50" s="454">
        <f>-N46/N48</f>
        <v/>
      </c>
      <c r="O50" s="454">
        <f>-O46/O48</f>
        <v/>
      </c>
      <c r="P50" s="454">
        <f>-P46/P48</f>
        <v/>
      </c>
      <c r="Q50" s="454">
        <f>-Q46/Q48</f>
        <v/>
      </c>
      <c r="R50" s="454">
        <f>-R46/R48</f>
        <v/>
      </c>
      <c r="S50" s="454">
        <f>-S46/S48</f>
        <v/>
      </c>
      <c r="T50" s="472" t="n"/>
    </row>
    <row r="51">
      <c r="C51" s="53" t="n"/>
      <c r="D51" s="53" t="n"/>
      <c r="E51" s="53" t="n"/>
      <c r="F51" s="455" t="n"/>
      <c r="G51" s="455" t="n"/>
      <c r="H51" s="466" t="n"/>
      <c r="I51" s="455" t="n"/>
      <c r="J51" s="455" t="n"/>
      <c r="K51" s="455" t="n"/>
      <c r="L51" s="455" t="n"/>
      <c r="M51" s="455" t="n"/>
      <c r="N51" s="455" t="n"/>
      <c r="O51" s="455" t="n"/>
      <c r="P51" s="455" t="n"/>
      <c r="Q51" s="455" t="n"/>
      <c r="R51" s="455" t="n"/>
      <c r="S51" s="455" t="n"/>
      <c r="T51" s="472" t="n"/>
    </row>
    <row r="52">
      <c r="D52" t="inlineStr">
        <is>
          <t>Change in working capital</t>
        </is>
      </c>
      <c r="F52" s="410" t="n"/>
      <c r="G52" s="410" t="n"/>
      <c r="H52" s="450" t="n"/>
      <c r="I52" s="410" t="n">
        <v>-17.23845</v>
      </c>
      <c r="J52" s="410" t="n">
        <v>-18.83445</v>
      </c>
      <c r="K52" s="410" t="n">
        <v>-20.3076</v>
      </c>
      <c r="L52" s="410" t="n">
        <v>-21.7047</v>
      </c>
      <c r="M52" s="410" t="n">
        <v>-21.6393</v>
      </c>
      <c r="N52" s="410">
        <f>N53*N24</f>
        <v/>
      </c>
      <c r="O52" s="410">
        <f>O53*O24</f>
        <v/>
      </c>
      <c r="P52" s="410">
        <f>P53*P24</f>
        <v/>
      </c>
      <c r="Q52" s="410">
        <f>Q53*Q24</f>
        <v/>
      </c>
      <c r="R52" s="410">
        <f>R53*R24</f>
        <v/>
      </c>
      <c r="S52" s="410">
        <f>S53*S24</f>
        <v/>
      </c>
      <c r="T52" s="470" t="n"/>
    </row>
    <row r="53">
      <c r="C53" s="53" t="n"/>
      <c r="D53" s="53" t="inlineStr">
        <is>
          <t>% sales</t>
        </is>
      </c>
      <c r="E53" s="53" t="n"/>
      <c r="F53" s="454" t="n"/>
      <c r="G53" s="454" t="n"/>
      <c r="H53" s="456" t="n"/>
      <c r="I53" s="454" t="n">
        <v>-0.015</v>
      </c>
      <c r="J53" s="454" t="n">
        <v>-0.015</v>
      </c>
      <c r="K53" s="454" t="n">
        <v>-0.015</v>
      </c>
      <c r="L53" s="454" t="n">
        <v>-0.015</v>
      </c>
      <c r="M53" s="454" t="n">
        <v>-0.015</v>
      </c>
      <c r="N53" s="454">
        <f>-Assumptions!$D$31</f>
        <v/>
      </c>
      <c r="O53" s="454">
        <f>-Assumptions!$D$31</f>
        <v/>
      </c>
      <c r="P53" s="454">
        <f>-Assumptions!$D$31</f>
        <v/>
      </c>
      <c r="Q53" s="454">
        <f>-Assumptions!$D$31</f>
        <v/>
      </c>
      <c r="R53" s="454">
        <f>-Assumptions!$D$31</f>
        <v/>
      </c>
      <c r="S53" s="454">
        <f>-Assumptions!$D$31</f>
        <v/>
      </c>
      <c r="T53" s="455" t="n"/>
    </row>
    <row r="54">
      <c r="C54" s="53" t="n"/>
      <c r="D54" s="53" t="n"/>
      <c r="E54" s="53" t="n"/>
      <c r="F54" s="455" t="n"/>
      <c r="G54" s="455" t="n"/>
      <c r="H54" s="466" t="n"/>
      <c r="I54" s="455" t="n"/>
      <c r="J54" s="455" t="n"/>
      <c r="K54" s="455" t="n"/>
      <c r="L54" s="455" t="n"/>
      <c r="M54" s="455" t="n"/>
      <c r="N54" s="455" t="n"/>
      <c r="O54" s="455" t="n"/>
      <c r="P54" s="455" t="n"/>
      <c r="Q54" s="455" t="n"/>
      <c r="R54" s="455" t="n"/>
      <c r="S54" s="455" t="n"/>
      <c r="T54" s="455" t="n"/>
    </row>
    <row r="55">
      <c r="C55" s="53" t="n"/>
      <c r="D55" t="inlineStr">
        <is>
          <t>Other Cashflows</t>
        </is>
      </c>
      <c r="E55" s="53" t="n"/>
      <c r="F55" s="410" t="n"/>
      <c r="G55" s="410" t="n"/>
      <c r="H55" s="450" t="n"/>
      <c r="I55" s="410" t="n">
        <v>0</v>
      </c>
      <c r="J55" s="410" t="n">
        <v>0</v>
      </c>
      <c r="K55" s="410" t="n">
        <v>0</v>
      </c>
      <c r="L55" s="410" t="n">
        <v>0</v>
      </c>
      <c r="M55" s="410" t="n">
        <v>0</v>
      </c>
      <c r="N55" s="410" t="n">
        <v>0</v>
      </c>
      <c r="O55" s="410" t="n">
        <v>0</v>
      </c>
      <c r="P55" s="410" t="n">
        <v>0</v>
      </c>
      <c r="Q55" s="410" t="n">
        <v>0</v>
      </c>
      <c r="R55" s="410" t="n">
        <v>0</v>
      </c>
      <c r="S55" s="410" t="n">
        <v>0</v>
      </c>
      <c r="T55" s="455" t="n"/>
    </row>
    <row r="56">
      <c r="C56" s="53" t="n"/>
      <c r="D56" s="53" t="inlineStr">
        <is>
          <t>% sales</t>
        </is>
      </c>
      <c r="E56" s="53" t="n"/>
      <c r="F56" s="454" t="n"/>
      <c r="G56" s="454" t="n"/>
      <c r="H56" s="456" t="n"/>
      <c r="I56" s="454" t="n">
        <v>0</v>
      </c>
      <c r="J56" s="454" t="n">
        <v>0</v>
      </c>
      <c r="K56" s="454" t="n">
        <v>0</v>
      </c>
      <c r="L56" s="454" t="n">
        <v>0</v>
      </c>
      <c r="M56" s="454" t="n">
        <v>0</v>
      </c>
      <c r="N56" s="454" t="n">
        <v>0</v>
      </c>
      <c r="O56" s="454" t="n">
        <v>0</v>
      </c>
      <c r="P56" s="454" t="n">
        <v>0</v>
      </c>
      <c r="Q56" s="454" t="n">
        <v>0</v>
      </c>
      <c r="R56" s="454" t="n">
        <v>0</v>
      </c>
      <c r="S56" s="454" t="n">
        <v>0</v>
      </c>
      <c r="T56" s="455" t="n"/>
    </row>
    <row r="57">
      <c r="C57" s="53" t="n"/>
      <c r="D57" s="53" t="n"/>
      <c r="E57" s="53" t="n"/>
      <c r="F57" s="455" t="n"/>
      <c r="G57" s="455" t="n"/>
      <c r="H57" s="466" t="n"/>
      <c r="I57" s="455" t="n"/>
      <c r="J57" s="455" t="n"/>
      <c r="K57" s="455" t="n"/>
      <c r="L57" s="455" t="n"/>
      <c r="M57" s="455" t="n"/>
      <c r="N57" s="455" t="n"/>
      <c r="O57" s="455" t="n"/>
      <c r="P57" s="455" t="n"/>
      <c r="Q57" s="455" t="n"/>
      <c r="R57" s="455" t="n"/>
      <c r="S57" s="455" t="n"/>
      <c r="T57" s="455" t="n"/>
    </row>
    <row r="58">
      <c r="C58" s="53" t="n"/>
      <c r="D58" t="inlineStr">
        <is>
          <t>Exceptional items</t>
        </is>
      </c>
      <c r="E58" s="53" t="n"/>
      <c r="F58" s="410" t="n"/>
      <c r="G58" s="410" t="n"/>
      <c r="H58" s="450" t="n"/>
      <c r="I58" s="410" t="n">
        <v>0</v>
      </c>
      <c r="J58" s="410" t="n">
        <v>0</v>
      </c>
      <c r="K58" s="410" t="n">
        <v>0</v>
      </c>
      <c r="L58" s="410" t="n">
        <v>0</v>
      </c>
      <c r="M58" s="410" t="n">
        <v>0</v>
      </c>
      <c r="N58" s="410" t="n">
        <v>0</v>
      </c>
      <c r="O58" s="410" t="n">
        <v>0</v>
      </c>
      <c r="P58" s="410" t="n">
        <v>0</v>
      </c>
      <c r="Q58" s="410" t="n">
        <v>0</v>
      </c>
      <c r="R58" s="410" t="n">
        <v>0</v>
      </c>
      <c r="S58" s="410" t="n">
        <v>0</v>
      </c>
      <c r="T58" s="455" t="n"/>
    </row>
    <row r="59">
      <c r="C59" s="53" t="n"/>
      <c r="D59" s="53" t="inlineStr">
        <is>
          <t>% sales</t>
        </is>
      </c>
      <c r="E59" s="53" t="n"/>
      <c r="F59" s="454" t="n"/>
      <c r="G59" s="454" t="n"/>
      <c r="H59" s="456" t="n"/>
      <c r="I59" s="454" t="n">
        <v>0</v>
      </c>
      <c r="J59" s="454" t="n">
        <v>0</v>
      </c>
      <c r="K59" s="454" t="n">
        <v>0</v>
      </c>
      <c r="L59" s="454" t="n">
        <v>0</v>
      </c>
      <c r="M59" s="454" t="n">
        <v>0</v>
      </c>
      <c r="N59" s="454" t="n">
        <v>0</v>
      </c>
      <c r="O59" s="454" t="n">
        <v>0</v>
      </c>
      <c r="P59" s="454" t="n">
        <v>0</v>
      </c>
      <c r="Q59" s="454" t="n">
        <v>0</v>
      </c>
      <c r="R59" s="454" t="n">
        <v>0</v>
      </c>
      <c r="S59" s="454" t="n">
        <v>0</v>
      </c>
      <c r="T59" s="455" t="n"/>
    </row>
    <row r="60">
      <c r="H60" s="466" t="n"/>
    </row>
    <row r="61">
      <c r="D61" s="55" t="inlineStr">
        <is>
          <t>FCF</t>
        </is>
      </c>
      <c r="E61" s="55" t="n"/>
      <c r="F61" s="473" t="n"/>
      <c r="G61" s="473" t="n"/>
      <c r="H61" s="474" t="n"/>
      <c r="I61" s="475">
        <f>I42+I46+I48+I52+I55+I58</f>
        <v/>
      </c>
      <c r="J61" s="475">
        <f>J42+J46+J48+J52+J55+J58</f>
        <v/>
      </c>
      <c r="K61" s="475">
        <f>K42+K46+K48+K52+K55+K58</f>
        <v/>
      </c>
      <c r="L61" s="475">
        <f>L42+L46+L48+L52+L55+L58</f>
        <v/>
      </c>
      <c r="M61" s="475">
        <f>M42+M46+M48+M52+M55+M58</f>
        <v/>
      </c>
      <c r="N61" s="475">
        <f>N42+N46+N48+N52+N55+N58</f>
        <v/>
      </c>
      <c r="O61" s="475">
        <f>O42+O46+O48+O52+O55+O58</f>
        <v/>
      </c>
      <c r="P61" s="475">
        <f>P42+P46+P48+P52+P55+P58</f>
        <v/>
      </c>
      <c r="Q61" s="475">
        <f>Q42+Q46+Q48+Q52+Q55+Q58</f>
        <v/>
      </c>
      <c r="R61" s="475">
        <f>R42+R46+R48+R52+R55+R58</f>
        <v/>
      </c>
      <c r="S61" s="475">
        <f>S42+S46+S48+S52+S55+S58</f>
        <v/>
      </c>
      <c r="T61" s="473" t="inlineStr">
        <is>
          <t>&lt;&lt;add EBIT+D&amp;A+Capex(-ve)+Change in WC (-ve)+other cashflows +exceptional items</t>
        </is>
      </c>
    </row>
    <row r="62">
      <c r="H62" s="72" t="n"/>
    </row>
    <row r="63" ht="12.75" customHeight="1">
      <c r="D63" s="38" t="inlineStr">
        <is>
          <t>Stub period</t>
        </is>
      </c>
      <c r="H63" s="72" t="n"/>
      <c r="I63" s="476">
        <f>-I18*I61</f>
        <v/>
      </c>
      <c r="J63" s="372">
        <f>-J18*J61</f>
        <v/>
      </c>
      <c r="K63" s="372">
        <f>-K18*K61</f>
        <v/>
      </c>
      <c r="L63" s="372">
        <f>-L18*L61</f>
        <v/>
      </c>
      <c r="M63" s="372">
        <f>-M18*M61</f>
        <v/>
      </c>
      <c r="N63" s="372">
        <f>-N18*N61</f>
        <v/>
      </c>
      <c r="O63" s="372">
        <f>-O18*O61</f>
        <v/>
      </c>
      <c r="P63" s="372">
        <f>-P18*P61</f>
        <v/>
      </c>
      <c r="Q63" s="372">
        <f>-Q18*Q61</f>
        <v/>
      </c>
      <c r="R63" s="372">
        <f>-R18*R61</f>
        <v/>
      </c>
      <c r="S63" s="372">
        <f>-S18*S61</f>
        <v/>
      </c>
      <c r="T63" s="372" t="n"/>
    </row>
    <row r="64">
      <c r="D64" s="55" t="inlineStr">
        <is>
          <t>FCF for discounting</t>
        </is>
      </c>
      <c r="E64" s="55" t="n"/>
      <c r="F64" s="55" t="n"/>
      <c r="G64" s="55" t="n"/>
      <c r="H64" s="250" t="n"/>
      <c r="I64" s="477">
        <f>I63+I61</f>
        <v/>
      </c>
      <c r="J64" s="473">
        <f>J63+J61</f>
        <v/>
      </c>
      <c r="K64" s="473">
        <f>K63+K61</f>
        <v/>
      </c>
      <c r="L64" s="473">
        <f>L63+L61</f>
        <v/>
      </c>
      <c r="M64" s="473">
        <f>M63+M61</f>
        <v/>
      </c>
      <c r="N64" s="473">
        <f>N63+N61</f>
        <v/>
      </c>
      <c r="O64" s="473">
        <f>O63+O61</f>
        <v/>
      </c>
      <c r="P64" s="473">
        <f>P63+P61</f>
        <v/>
      </c>
      <c r="Q64" s="473">
        <f>Q63+Q61</f>
        <v/>
      </c>
      <c r="R64" s="473">
        <f>R63+R61</f>
        <v/>
      </c>
      <c r="S64" s="473">
        <f>S63+S61</f>
        <v/>
      </c>
      <c r="T64" s="473" t="n"/>
    </row>
    <row r="65">
      <c r="H65" s="72" t="n"/>
    </row>
    <row r="66" ht="12.75" customHeight="1">
      <c r="D66" s="56" t="inlineStr">
        <is>
          <t>Days to cashflow</t>
        </is>
      </c>
      <c r="E66" s="56" t="n"/>
      <c r="F66" s="56" t="n"/>
      <c r="G66" s="56" t="n"/>
      <c r="H66" s="251" t="n"/>
      <c r="I66" s="478">
        <f>(I22-F7)/2</f>
        <v/>
      </c>
      <c r="J66" s="479">
        <f>I66+365.25</f>
        <v/>
      </c>
      <c r="K66" s="479">
        <f>J66+365.25</f>
        <v/>
      </c>
      <c r="L66" s="479">
        <f>K66+365.25</f>
        <v/>
      </c>
      <c r="M66" s="479">
        <f>L66+365.25</f>
        <v/>
      </c>
      <c r="N66" s="479">
        <f>M66+365.25</f>
        <v/>
      </c>
      <c r="O66" s="479">
        <f>N66+365.25</f>
        <v/>
      </c>
      <c r="P66" s="479">
        <f>O66+365.25</f>
        <v/>
      </c>
      <c r="Q66" s="479">
        <f>P66+365.25</f>
        <v/>
      </c>
      <c r="R66" s="479">
        <f>Q66+365.25</f>
        <v/>
      </c>
      <c r="S66" s="479">
        <f>R66+365.25</f>
        <v/>
      </c>
      <c r="T66" s="479" t="n"/>
    </row>
    <row r="67">
      <c r="D67" s="41" t="inlineStr">
        <is>
          <t>Discount factor</t>
        </is>
      </c>
      <c r="E67" s="41" t="n"/>
      <c r="F67" s="41" t="n"/>
      <c r="G67" s="41" t="n"/>
      <c r="H67" s="252" t="n"/>
      <c r="I67" s="480">
        <f>1/((1+$F$11)^(I66/365.25))</f>
        <v/>
      </c>
      <c r="J67" s="481">
        <f>1/((1+$F$11)^(J66/365.25))</f>
        <v/>
      </c>
      <c r="K67" s="481">
        <f>1/((1+$F$11)^(K66/365.25))</f>
        <v/>
      </c>
      <c r="L67" s="481">
        <f>1/((1+$F$11)^(L66/365.25))</f>
        <v/>
      </c>
      <c r="M67" s="481">
        <f>1/((1+$F$11)^(M66/365.25))</f>
        <v/>
      </c>
      <c r="N67" s="481">
        <f>1/((1+$F$11)^(N66/365.25))</f>
        <v/>
      </c>
      <c r="O67" s="481">
        <f>1/((1+$F$11)^(O66/365.25))</f>
        <v/>
      </c>
      <c r="P67" s="481">
        <f>1/((1+$F$11)^(P66/365.25))</f>
        <v/>
      </c>
      <c r="Q67" s="481">
        <f>1/((1+$F$11)^(Q66/365.25))</f>
        <v/>
      </c>
      <c r="R67" s="481">
        <f>1/((1+$F$11)^(R66/365.25))</f>
        <v/>
      </c>
      <c r="S67" s="481">
        <f>1/((1+$F$11)^(S66/365.25))</f>
        <v/>
      </c>
      <c r="T67" s="481" t="n"/>
    </row>
    <row r="68">
      <c r="R68" s="372" t="n"/>
      <c r="S68" s="372" t="n"/>
      <c r="T68" s="372" t="n"/>
    </row>
    <row r="69">
      <c r="D69" s="71" t="inlineStr">
        <is>
          <t>Terminal value</t>
        </is>
      </c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71" t="n"/>
      <c r="P69" s="71" t="inlineStr">
        <is>
          <t>Perpetuity growth portion</t>
        </is>
      </c>
      <c r="Q69" s="71" t="n"/>
      <c r="R69" s="71" t="n"/>
      <c r="S69" s="71" t="n"/>
      <c r="T69" s="482">
        <f>S64*(1+F9)/(F11-F9)</f>
        <v/>
      </c>
    </row>
    <row r="70"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inlineStr">
        <is>
          <t>Exit EBITDA multiple</t>
        </is>
      </c>
      <c r="Q70" s="36" t="n"/>
      <c r="R70" s="36" t="n"/>
      <c r="S70" s="36" t="n"/>
      <c r="T70" s="483">
        <f>S27*F10</f>
        <v/>
      </c>
    </row>
    <row r="71">
      <c r="Q71" s="372" t="n"/>
      <c r="R71" s="372" t="n"/>
      <c r="S71" s="372" t="n"/>
      <c r="T71" s="372" t="n"/>
    </row>
    <row r="72">
      <c r="F72" s="46" t="inlineStr">
        <is>
          <t>Perpetuity growth method</t>
        </is>
      </c>
      <c r="G72" s="46" t="n"/>
      <c r="H72" s="46" t="n"/>
      <c r="I72" s="46" t="n"/>
      <c r="L72" s="46" t="inlineStr">
        <is>
          <t>Exit EBITDA multiple method</t>
        </is>
      </c>
      <c r="M72" s="46" t="n"/>
      <c r="N72" s="46" t="n"/>
      <c r="O72" s="46" t="n"/>
    </row>
    <row r="73" ht="4.5" customHeight="1"/>
    <row r="74">
      <c r="F74" s="36" t="inlineStr">
        <is>
          <t>Present value</t>
        </is>
      </c>
      <c r="G74" s="36" t="n"/>
      <c r="H74" s="126" t="inlineStr">
        <is>
          <t>($m)</t>
        </is>
      </c>
      <c r="I74" s="126" t="inlineStr">
        <is>
          <t>(%)</t>
        </is>
      </c>
      <c r="L74" s="36" t="inlineStr">
        <is>
          <t>Present value</t>
        </is>
      </c>
      <c r="M74" s="78" t="n"/>
      <c r="N74" s="126" t="inlineStr">
        <is>
          <t>($m)</t>
        </is>
      </c>
      <c r="O74" s="126" t="inlineStr">
        <is>
          <t>(%)</t>
        </is>
      </c>
    </row>
    <row r="75">
      <c r="F75" t="inlineStr">
        <is>
          <t>PV of FCF</t>
        </is>
      </c>
      <c r="H75" s="309">
        <f>SUMPRODUCT($I$64:$T$64,$I$67:$T$67)</f>
        <v/>
      </c>
      <c r="I75" s="445">
        <f>H75/$H$77</f>
        <v/>
      </c>
      <c r="L75" t="inlineStr">
        <is>
          <t>PV of FCF</t>
        </is>
      </c>
      <c r="N75" s="375">
        <f>SUMPRODUCT($G$64:$T$64,$G$67:$T$67)</f>
        <v/>
      </c>
      <c r="O75" s="445">
        <f>N75/$N$77</f>
        <v/>
      </c>
    </row>
    <row r="76">
      <c r="F76" t="inlineStr">
        <is>
          <t>PV of Terminal Value</t>
        </is>
      </c>
      <c r="H76" s="309">
        <f>T69*S67</f>
        <v/>
      </c>
      <c r="I76" s="445">
        <f>H76/$H$77</f>
        <v/>
      </c>
      <c r="L76" t="inlineStr">
        <is>
          <t>PV of Terminal Value</t>
        </is>
      </c>
      <c r="N76" s="375">
        <f>T70*R67</f>
        <v/>
      </c>
      <c r="O76" s="445">
        <f>N76/$N$77</f>
        <v/>
      </c>
    </row>
    <row r="77">
      <c r="F77" s="24" t="inlineStr">
        <is>
          <t>Enterprise value</t>
        </is>
      </c>
      <c r="G77" s="55" t="n"/>
      <c r="H77" s="310">
        <f>SUM(H75:H76)</f>
        <v/>
      </c>
      <c r="I77" s="484">
        <f>SUM(I75:I76)</f>
        <v/>
      </c>
      <c r="L77" s="24" t="inlineStr">
        <is>
          <t>Enterprise value</t>
        </is>
      </c>
      <c r="M77" s="55" t="n"/>
      <c r="N77" s="485">
        <f>SUM(N75:N76)</f>
        <v/>
      </c>
      <c r="O77" s="484">
        <f>SUM(O75:O76)</f>
        <v/>
      </c>
    </row>
    <row r="78">
      <c r="F78" t="inlineStr">
        <is>
          <t>Net debt &amp; adjustments</t>
        </is>
      </c>
      <c r="H78" s="451">
        <f>-SUM(Assumptions!$D$19:$D$22)</f>
        <v/>
      </c>
      <c r="I78" s="486" t="n"/>
      <c r="L78" t="inlineStr">
        <is>
          <t>Net debt &amp; adjustments</t>
        </is>
      </c>
      <c r="N78" s="451">
        <f>-SUM(Assumptions!$D$19:$D$22)</f>
        <v/>
      </c>
      <c r="O78" s="486" t="n"/>
    </row>
    <row r="79">
      <c r="F79" s="24" t="inlineStr">
        <is>
          <t>Equity value</t>
        </is>
      </c>
      <c r="G79" s="55" t="n"/>
      <c r="H79" s="310">
        <f>H77+H78</f>
        <v/>
      </c>
      <c r="I79" s="484" t="n"/>
      <c r="L79" s="24" t="inlineStr">
        <is>
          <t>Equity value</t>
        </is>
      </c>
      <c r="M79" s="55" t="n"/>
      <c r="N79" s="485">
        <f>N77+N78</f>
        <v/>
      </c>
      <c r="O79" s="484" t="n"/>
    </row>
    <row r="80">
      <c r="F80" s="56" t="inlineStr">
        <is>
          <t>Share price</t>
        </is>
      </c>
      <c r="G80" s="56" t="n"/>
      <c r="H80" s="62">
        <f>H79/Assumptions!$D$17*100</f>
        <v/>
      </c>
      <c r="I80" s="487" t="n"/>
      <c r="L80" s="56" t="inlineStr">
        <is>
          <t>Share price</t>
        </is>
      </c>
      <c r="M80" s="56" t="n"/>
      <c r="N80" s="488">
        <f>N79/Assumptions!$D$17*100</f>
        <v/>
      </c>
      <c r="O80" s="487" t="n"/>
    </row>
    <row r="81">
      <c r="F81" s="84" t="inlineStr">
        <is>
          <t>% premium to current</t>
        </is>
      </c>
      <c r="G81" s="41" t="n"/>
      <c r="H81" s="489">
        <f>H80/Assumptions!$D$16-1</f>
        <v/>
      </c>
      <c r="I81" s="490" t="n"/>
      <c r="L81" s="84" t="inlineStr">
        <is>
          <t>% premium to current</t>
        </is>
      </c>
      <c r="M81" s="41" t="n"/>
      <c r="N81" s="491">
        <f>N80/Assumptions!$D$16-1</f>
        <v/>
      </c>
      <c r="O81" s="490" t="n"/>
    </row>
    <row r="82">
      <c r="H82" s="372" t="n"/>
    </row>
    <row r="83">
      <c r="D83" s="46" t="inlineStr">
        <is>
          <t>Sensitivity analysis</t>
        </is>
      </c>
      <c r="E83" s="46" t="n"/>
      <c r="F83" s="46" t="n"/>
      <c r="G83" s="46" t="n"/>
      <c r="H83" s="46" t="n"/>
      <c r="I83" s="46" t="n"/>
      <c r="J83" s="46" t="n"/>
      <c r="K83" s="46" t="n"/>
      <c r="L83" s="46" t="n"/>
      <c r="M83" s="46" t="n"/>
      <c r="N83" s="46" t="n"/>
      <c r="O83" s="46" t="n"/>
      <c r="P83" s="46" t="n"/>
      <c r="Q83" s="46" t="n"/>
      <c r="R83" s="46" t="n"/>
      <c r="S83" s="46" t="n"/>
      <c r="T83" s="46" t="n"/>
    </row>
    <row r="84" ht="4.5" customHeight="1"/>
    <row r="85">
      <c r="D85" s="36" t="inlineStr">
        <is>
          <t>Spread rates and step-up</t>
        </is>
      </c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71" t="n"/>
    </row>
    <row r="87" ht="12.75" customHeight="1">
      <c r="E87" s="26" t="inlineStr">
        <is>
          <t>Perpetuity growth rate</t>
        </is>
      </c>
      <c r="F87" s="492" t="n"/>
      <c r="G87" s="26" t="inlineStr">
        <is>
          <t>Perptuity growth rate step-up</t>
        </is>
      </c>
      <c r="I87" s="336" t="n"/>
      <c r="L87" s="26" t="inlineStr">
        <is>
          <t>EBITDA multiple</t>
        </is>
      </c>
      <c r="M87" s="493" t="n"/>
      <c r="N87" s="26" t="inlineStr">
        <is>
          <t>EBITDA multiple step-up</t>
        </is>
      </c>
      <c r="P87" s="493" t="n"/>
    </row>
    <row r="88">
      <c r="E88" s="26" t="inlineStr">
        <is>
          <t>WACC</t>
        </is>
      </c>
      <c r="F88" s="494" t="n"/>
      <c r="G88" s="26" t="inlineStr">
        <is>
          <t>WACC step-up</t>
        </is>
      </c>
      <c r="I88" s="336" t="n"/>
      <c r="L88" s="26" t="inlineStr">
        <is>
          <t>WACC</t>
        </is>
      </c>
      <c r="M88" s="495">
        <f>F88</f>
        <v/>
      </c>
      <c r="N88" s="26" t="inlineStr">
        <is>
          <t>WACC step-up</t>
        </is>
      </c>
      <c r="P88" s="496">
        <f>I88</f>
        <v/>
      </c>
    </row>
    <row r="90">
      <c r="E90" s="75" t="inlineStr">
        <is>
          <t>Perpetuity growth rate analysis</t>
        </is>
      </c>
      <c r="F90" s="75" t="n"/>
      <c r="G90" s="75" t="n"/>
      <c r="H90" s="75" t="n"/>
      <c r="I90" s="75" t="n"/>
      <c r="J90" s="75" t="n"/>
      <c r="L90" s="75" t="inlineStr">
        <is>
          <t>EBITDA multiple analysis</t>
        </is>
      </c>
      <c r="M90" s="75" t="n"/>
      <c r="N90" s="75" t="n"/>
      <c r="O90" s="75" t="n"/>
      <c r="P90" s="75" t="n"/>
      <c r="Q90" s="75" t="n"/>
    </row>
    <row r="91" ht="4.5" customHeight="1"/>
    <row r="92">
      <c r="E92" s="74" t="inlineStr">
        <is>
          <t>Enterprise value ($m)</t>
        </is>
      </c>
      <c r="F92" s="36" t="n"/>
      <c r="G92" s="36" t="n"/>
      <c r="H92" s="36" t="n"/>
      <c r="I92" s="36" t="n"/>
      <c r="J92" s="36" t="n"/>
      <c r="L92" s="74" t="inlineStr">
        <is>
          <t>Enterprise value ($m)</t>
        </is>
      </c>
      <c r="M92" s="36" t="n"/>
      <c r="N92" s="36" t="n"/>
      <c r="O92" s="36" t="n"/>
      <c r="P92" s="36" t="n"/>
      <c r="Q92" s="36" t="n"/>
    </row>
    <row r="93">
      <c r="E93" s="29" t="inlineStr">
        <is>
          <t>WACC (%)</t>
        </is>
      </c>
      <c r="F93" s="79" t="inlineStr">
        <is>
          <t>Perpetuity growth rate (%)</t>
        </is>
      </c>
      <c r="G93" s="49" t="n"/>
      <c r="H93" s="49" t="n"/>
      <c r="I93" s="49" t="n"/>
      <c r="J93" s="50" t="n"/>
      <c r="L93" s="29" t="inlineStr">
        <is>
          <t>WACC (%)</t>
        </is>
      </c>
      <c r="M93" s="49" t="inlineStr">
        <is>
          <t>Exit EBITDA multiple (x)</t>
        </is>
      </c>
      <c r="N93" s="49" t="n"/>
      <c r="O93" s="49" t="n"/>
      <c r="P93" s="49" t="n"/>
      <c r="Q93" s="50" t="n"/>
    </row>
    <row r="94" ht="12.75" customHeight="1">
      <c r="E94" s="58">
        <f>H77</f>
        <v/>
      </c>
      <c r="F94" s="59">
        <f>G94-$I$87</f>
        <v/>
      </c>
      <c r="G94" s="59">
        <f>H94-$I$87</f>
        <v/>
      </c>
      <c r="H94" s="149">
        <f>$F$87</f>
        <v/>
      </c>
      <c r="I94" s="59">
        <f>H94+$I$87</f>
        <v/>
      </c>
      <c r="J94" s="60">
        <f>I94+$I$87</f>
        <v/>
      </c>
      <c r="L94" s="58">
        <f>N77</f>
        <v/>
      </c>
      <c r="M94" s="497">
        <f>N94-$P$87</f>
        <v/>
      </c>
      <c r="N94" s="497">
        <f>O94-$P$87</f>
        <v/>
      </c>
      <c r="O94" s="498">
        <f>$M$87</f>
        <v/>
      </c>
      <c r="P94" s="497">
        <f>O94+$P$87</f>
        <v/>
      </c>
      <c r="Q94" s="499">
        <f>P94+$P$87</f>
        <v/>
      </c>
    </row>
    <row r="95" ht="12.75" customHeight="1">
      <c r="E95" s="500">
        <f>E96-$I$88</f>
        <v/>
      </c>
      <c r="F95" s="255">
        <f t="dataTable" ref="F95:J99" dt2D="1" dtr="1" r1="F9" r2="F11" ca="1"/>
        <v/>
      </c>
      <c r="G95" s="256" t="e">
        <v>#DIV/0!</v>
      </c>
      <c r="H95" s="257" t="e">
        <v>#DIV/0!</v>
      </c>
      <c r="I95" s="256" t="e">
        <v>#DIV/0!</v>
      </c>
      <c r="J95" s="258" t="e">
        <v>#DIV/0!</v>
      </c>
      <c r="L95" s="500">
        <f>L96-$I$88</f>
        <v/>
      </c>
      <c r="M95" s="281">
        <f t="dataTable" ref="M95:Q99" dt2D="1" dtr="1" r1="F10" r2="F11"/>
        <v/>
      </c>
      <c r="N95" s="282" t="n">
        <v>0</v>
      </c>
      <c r="O95" s="282" t="n">
        <v>0</v>
      </c>
      <c r="P95" s="282" t="n">
        <v>0</v>
      </c>
      <c r="Q95" s="283" t="n">
        <v>0</v>
      </c>
    </row>
    <row r="96" ht="12.75" customHeight="1">
      <c r="E96" s="500">
        <f>E97-$I$88</f>
        <v/>
      </c>
      <c r="F96" s="259" t="e">
        <v>#DIV/0!</v>
      </c>
      <c r="G96" s="260" t="e">
        <v>#DIV/0!</v>
      </c>
      <c r="H96" s="257" t="e">
        <v>#DIV/0!</v>
      </c>
      <c r="I96" s="260" t="e">
        <v>#DIV/0!</v>
      </c>
      <c r="J96" s="261" t="e">
        <v>#DIV/0!</v>
      </c>
      <c r="L96" s="500">
        <f>L97-$I$88</f>
        <v/>
      </c>
      <c r="M96" s="284" t="n">
        <v>0</v>
      </c>
      <c r="N96" s="285" t="n">
        <v>0</v>
      </c>
      <c r="O96" s="286" t="n">
        <v>0</v>
      </c>
      <c r="P96" s="285" t="n">
        <v>0</v>
      </c>
      <c r="Q96" s="287" t="n">
        <v>0</v>
      </c>
      <c r="R96" s="66" t="n"/>
      <c r="S96" s="66" t="n"/>
      <c r="T96" s="66" t="n"/>
    </row>
    <row r="97" ht="12.75" customHeight="1">
      <c r="E97" s="501">
        <f>$F$88</f>
        <v/>
      </c>
      <c r="F97" s="259" t="e">
        <v>#DIV/0!</v>
      </c>
      <c r="G97" s="257" t="e">
        <v>#DIV/0!</v>
      </c>
      <c r="H97" s="260" t="e">
        <v>#DIV/0!</v>
      </c>
      <c r="I97" s="257" t="e">
        <v>#DIV/0!</v>
      </c>
      <c r="J97" s="261" t="e">
        <v>#DIV/0!</v>
      </c>
      <c r="L97" s="501">
        <f>$M$88</f>
        <v/>
      </c>
      <c r="M97" s="284" t="n">
        <v>0</v>
      </c>
      <c r="N97" s="286" t="n">
        <v>0</v>
      </c>
      <c r="O97" s="285" t="n">
        <v>0</v>
      </c>
      <c r="P97" s="286" t="n">
        <v>0</v>
      </c>
      <c r="Q97" s="287" t="n">
        <v>0</v>
      </c>
      <c r="R97" s="66" t="n"/>
      <c r="S97" s="66" t="n"/>
      <c r="T97" s="66" t="n"/>
    </row>
    <row r="98" ht="12.75" customHeight="1">
      <c r="E98" s="502">
        <f>E97+$I$88</f>
        <v/>
      </c>
      <c r="F98" s="259" t="e">
        <v>#DIV/0!</v>
      </c>
      <c r="G98" s="260" t="e">
        <v>#DIV/0!</v>
      </c>
      <c r="H98" s="257" t="e">
        <v>#DIV/0!</v>
      </c>
      <c r="I98" s="260" t="e">
        <v>#DIV/0!</v>
      </c>
      <c r="J98" s="261" t="e">
        <v>#DIV/0!</v>
      </c>
      <c r="L98" s="502">
        <f>L97+$I$88</f>
        <v/>
      </c>
      <c r="M98" s="284" t="n">
        <v>0</v>
      </c>
      <c r="N98" s="285" t="n">
        <v>0</v>
      </c>
      <c r="O98" s="286" t="n">
        <v>0</v>
      </c>
      <c r="P98" s="285" t="n">
        <v>0</v>
      </c>
      <c r="Q98" s="287" t="n">
        <v>0</v>
      </c>
      <c r="R98" s="66" t="n"/>
      <c r="S98" s="66" t="n"/>
      <c r="T98" s="66" t="n"/>
    </row>
    <row r="99" ht="12.75" customHeight="1">
      <c r="E99" s="503">
        <f>E98+$I$88</f>
        <v/>
      </c>
      <c r="F99" s="262" t="e">
        <v>#DIV/0!</v>
      </c>
      <c r="G99" s="263" t="e">
        <v>#DIV/0!</v>
      </c>
      <c r="H99" s="263" t="e">
        <v>#DIV/0!</v>
      </c>
      <c r="I99" s="263" t="e">
        <v>#DIV/0!</v>
      </c>
      <c r="J99" s="264" t="e">
        <v>#DIV/0!</v>
      </c>
      <c r="L99" s="503">
        <f>L98+$I$88</f>
        <v/>
      </c>
      <c r="M99" s="288" t="n">
        <v>0</v>
      </c>
      <c r="N99" s="289" t="n">
        <v>0</v>
      </c>
      <c r="O99" s="289" t="n">
        <v>0</v>
      </c>
      <c r="P99" s="289" t="n">
        <v>0</v>
      </c>
      <c r="Q99" s="290" t="n">
        <v>0</v>
      </c>
      <c r="R99" s="66" t="n"/>
      <c r="S99" s="66" t="n"/>
      <c r="T99" s="66" t="n"/>
    </row>
    <row r="101">
      <c r="E101" s="74" t="inlineStr">
        <is>
          <t>Offer price (p)</t>
        </is>
      </c>
      <c r="F101" s="36" t="n"/>
      <c r="G101" s="36" t="n"/>
      <c r="H101" s="36" t="n"/>
      <c r="I101" s="36" t="n"/>
      <c r="J101" s="36" t="n"/>
      <c r="L101" s="74" t="inlineStr">
        <is>
          <t>Offer price (p)</t>
        </is>
      </c>
      <c r="M101" s="36" t="n"/>
      <c r="N101" s="36" t="n"/>
      <c r="O101" s="36" t="n"/>
      <c r="P101" s="36" t="n"/>
      <c r="Q101" s="36" t="n"/>
    </row>
    <row r="102">
      <c r="E102" s="29" t="inlineStr">
        <is>
          <t>WACC (%)</t>
        </is>
      </c>
      <c r="F102" s="79" t="inlineStr">
        <is>
          <t>Perpetuity growth rate (%)</t>
        </is>
      </c>
      <c r="G102" s="49" t="n"/>
      <c r="H102" s="49" t="n"/>
      <c r="I102" s="49" t="n"/>
      <c r="J102" s="50" t="n"/>
      <c r="L102" s="29" t="inlineStr">
        <is>
          <t>WACC (%)</t>
        </is>
      </c>
      <c r="M102" s="49" t="inlineStr">
        <is>
          <t>Exit EBITDA multiple (x)</t>
        </is>
      </c>
      <c r="N102" s="49" t="n"/>
      <c r="O102" s="49" t="n"/>
      <c r="P102" s="49" t="n"/>
      <c r="Q102" s="50" t="n"/>
    </row>
    <row r="103">
      <c r="E103" s="504">
        <f>H80</f>
        <v/>
      </c>
      <c r="F103" s="275">
        <f>G103-$I$87</f>
        <v/>
      </c>
      <c r="G103" s="275">
        <f>H103-$I$87</f>
        <v/>
      </c>
      <c r="H103" s="276">
        <f>$F$87</f>
        <v/>
      </c>
      <c r="I103" s="275">
        <f>H103+$I$87</f>
        <v/>
      </c>
      <c r="J103" s="277">
        <f>I103+$I$87</f>
        <v/>
      </c>
      <c r="L103" s="504">
        <f>N80</f>
        <v/>
      </c>
      <c r="M103" s="505">
        <f>N103-$P$87</f>
        <v/>
      </c>
      <c r="N103" s="505">
        <f>O103-$P$87</f>
        <v/>
      </c>
      <c r="O103" s="506">
        <f>$M$87</f>
        <v/>
      </c>
      <c r="P103" s="505">
        <f>O103+$P$87</f>
        <v/>
      </c>
      <c r="Q103" s="507">
        <f>P103+$P$87</f>
        <v/>
      </c>
    </row>
    <row r="104">
      <c r="E104" s="500">
        <f>E105-$I$88</f>
        <v/>
      </c>
      <c r="F104" s="508">
        <f>(F95-SUM(Assumptions!$D$19:$D$22))/Assumptions!$D$17*100</f>
        <v/>
      </c>
      <c r="G104" s="509">
        <f>(G95-SUM(Assumptions!$D$19:$D$22))/Assumptions!$D$17*100</f>
        <v/>
      </c>
      <c r="H104" s="510">
        <f>(H95-SUM(Assumptions!$D$19:$D$22))/Assumptions!$D$17*100</f>
        <v/>
      </c>
      <c r="I104" s="509">
        <f>(I95-SUM(Assumptions!$D$19:$D$22))/Assumptions!$D$17*100</f>
        <v/>
      </c>
      <c r="J104" s="511">
        <f>(J95-SUM(Assumptions!$D$19:$D$22))/Assumptions!$D$17*100</f>
        <v/>
      </c>
      <c r="L104" s="500">
        <f>L105-$I$88</f>
        <v/>
      </c>
      <c r="M104" s="61">
        <f>(M95-SUM(Assumptions!$D$19:$D$22))/Assumptions!$D$17*100</f>
        <v/>
      </c>
      <c r="N104" s="62">
        <f>(N95-SUM(Assumptions!$D$19:$D$22))/Assumptions!$D$17*100</f>
        <v/>
      </c>
      <c r="O104" s="66">
        <f>(O95-SUM(Assumptions!$D$19:$D$22))/Assumptions!$D$17*100</f>
        <v/>
      </c>
      <c r="P104" s="62">
        <f>(P95-SUM(Assumptions!$D$19:$D$22))/Assumptions!$D$17*100</f>
        <v/>
      </c>
      <c r="Q104" s="63">
        <f>(Q95-SUM(Assumptions!$D$19:$D$22))/Assumptions!$D$17*100</f>
        <v/>
      </c>
    </row>
    <row r="105">
      <c r="E105" s="500">
        <f>E106-$I$88</f>
        <v/>
      </c>
      <c r="F105" s="512">
        <f>(F96-SUM(Assumptions!$D$19:$D$22))/Assumptions!$D$17*100</f>
        <v/>
      </c>
      <c r="G105" s="513">
        <f>(G96-SUM(Assumptions!$D$19:$D$22))/Assumptions!$D$17*100</f>
        <v/>
      </c>
      <c r="H105" s="510">
        <f>(H96-SUM(Assumptions!$D$19:$D$22))/Assumptions!$D$17*100</f>
        <v/>
      </c>
      <c r="I105" s="513">
        <f>(I96-SUM(Assumptions!$D$19:$D$22))/Assumptions!$D$17*100</f>
        <v/>
      </c>
      <c r="J105" s="514">
        <f>(J96-SUM(Assumptions!$D$19:$D$22))/Assumptions!$D$17*100</f>
        <v/>
      </c>
      <c r="L105" s="500">
        <f>L106-$I$88</f>
        <v/>
      </c>
      <c r="M105" s="64">
        <f>(M96-SUM(Assumptions!$D$19:$D$22))/Assumptions!$D$17*100</f>
        <v/>
      </c>
      <c r="N105" s="65">
        <f>(N96-SUM(Assumptions!$D$19:$D$22))/Assumptions!$D$17*100</f>
        <v/>
      </c>
      <c r="O105" s="66">
        <f>(O96-SUM(Assumptions!$D$19:$D$22))/Assumptions!$D$17*100</f>
        <v/>
      </c>
      <c r="P105" s="65">
        <f>(P96-SUM(Assumptions!$D$19:$D$22))/Assumptions!$D$17*100</f>
        <v/>
      </c>
      <c r="Q105" s="67">
        <f>(Q96-SUM(Assumptions!$D$19:$D$22))/Assumptions!$D$17*100</f>
        <v/>
      </c>
    </row>
    <row r="106">
      <c r="E106" s="501">
        <f>$F$88</f>
        <v/>
      </c>
      <c r="F106" s="512">
        <f>(F97-SUM(Assumptions!$D$19:$D$22))/Assumptions!$D$17*100</f>
        <v/>
      </c>
      <c r="G106" s="510">
        <f>(G97-SUM(Assumptions!$D$19:$D$22))/Assumptions!$D$17*100</f>
        <v/>
      </c>
      <c r="H106" s="513">
        <f>(H97-SUM(Assumptions!$D$19:$D$22))/Assumptions!$D$17*100</f>
        <v/>
      </c>
      <c r="I106" s="510">
        <f>(I97-SUM(Assumptions!$D$19:$D$22))/Assumptions!$D$17*100</f>
        <v/>
      </c>
      <c r="J106" s="514">
        <f>(J97-SUM(Assumptions!$D$19:$D$22))/Assumptions!$D$17*100</f>
        <v/>
      </c>
      <c r="L106" s="501">
        <f>$M$88</f>
        <v/>
      </c>
      <c r="M106" s="64">
        <f>(M97-SUM(Assumptions!$D$19:$D$22))/Assumptions!$D$17*100</f>
        <v/>
      </c>
      <c r="N106" s="66">
        <f>(N97-SUM(Assumptions!$D$19:$D$22))/Assumptions!$D$17*100</f>
        <v/>
      </c>
      <c r="O106" s="65">
        <f>(O97-SUM(Assumptions!$D$19:$D$22))/Assumptions!$D$17*100</f>
        <v/>
      </c>
      <c r="P106" s="66">
        <f>(P97-SUM(Assumptions!$D$19:$D$22))/Assumptions!$D$17*100</f>
        <v/>
      </c>
      <c r="Q106" s="67">
        <f>(Q97-SUM(Assumptions!$D$19:$D$22))/Assumptions!$D$17*100</f>
        <v/>
      </c>
    </row>
    <row r="107">
      <c r="E107" s="502">
        <f>E106+$I$88</f>
        <v/>
      </c>
      <c r="F107" s="512">
        <f>(F98-SUM(Assumptions!$D$19:$D$22))/Assumptions!$D$17*100</f>
        <v/>
      </c>
      <c r="G107" s="513">
        <f>(G98-SUM(Assumptions!$D$19:$D$22))/Assumptions!$D$17*100</f>
        <v/>
      </c>
      <c r="H107" s="510">
        <f>(H98-SUM(Assumptions!$D$19:$D$22))/Assumptions!$D$17*100</f>
        <v/>
      </c>
      <c r="I107" s="513">
        <f>(I98-SUM(Assumptions!$D$19:$D$22))/Assumptions!$D$17*100</f>
        <v/>
      </c>
      <c r="J107" s="514">
        <f>(J98-SUM(Assumptions!$D$19:$D$22))/Assumptions!$D$17*100</f>
        <v/>
      </c>
      <c r="L107" s="502">
        <f>L106+$I$88</f>
        <v/>
      </c>
      <c r="M107" s="64">
        <f>(M98-SUM(Assumptions!$D$19:$D$22))/Assumptions!$D$17*100</f>
        <v/>
      </c>
      <c r="N107" s="65">
        <f>(N98-SUM(Assumptions!$D$19:$D$22))/Assumptions!$D$17*100</f>
        <v/>
      </c>
      <c r="O107" s="66">
        <f>(O98-SUM(Assumptions!$D$19:$D$22))/Assumptions!$D$17*100</f>
        <v/>
      </c>
      <c r="P107" s="65">
        <f>(P98-SUM(Assumptions!$D$19:$D$22))/Assumptions!$D$17*100</f>
        <v/>
      </c>
      <c r="Q107" s="67">
        <f>(Q98-SUM(Assumptions!$D$19:$D$22))/Assumptions!$D$17*100</f>
        <v/>
      </c>
    </row>
    <row r="108">
      <c r="E108" s="503">
        <f>E107+$I$88</f>
        <v/>
      </c>
      <c r="F108" s="515">
        <f>(F99-SUM(Assumptions!$D$19:$D$22))/Assumptions!$D$17*100</f>
        <v/>
      </c>
      <c r="G108" s="516">
        <f>(G99-SUM(Assumptions!$D$19:$D$22))/Assumptions!$D$17*100</f>
        <v/>
      </c>
      <c r="H108" s="516">
        <f>(H99-SUM(Assumptions!$D$19:$D$22))/Assumptions!$D$17*100</f>
        <v/>
      </c>
      <c r="I108" s="516">
        <f>(I99-SUM(Assumptions!$D$19:$D$22))/Assumptions!$D$17*100</f>
        <v/>
      </c>
      <c r="J108" s="517">
        <f>(J99-SUM(Assumptions!$D$19:$D$22))/Assumptions!$D$17*100</f>
        <v/>
      </c>
      <c r="L108" s="503">
        <f>L107+$I$88</f>
        <v/>
      </c>
      <c r="M108" s="68">
        <f>(M99-SUM(Assumptions!$D$19:$D$22))/Assumptions!$D$17*100</f>
        <v/>
      </c>
      <c r="N108" s="69">
        <f>(N99-SUM(Assumptions!$D$19:$D$22))/Assumptions!$D$17*100</f>
        <v/>
      </c>
      <c r="O108" s="69">
        <f>(O99-SUM(Assumptions!$D$19:$D$22))/Assumptions!$D$17*100</f>
        <v/>
      </c>
      <c r="P108" s="69">
        <f>(P99-SUM(Assumptions!$D$19:$D$22))/Assumptions!$D$17*100</f>
        <v/>
      </c>
      <c r="Q108" s="70">
        <f>(Q99-SUM(Assumptions!$D$19:$D$22))/Assumptions!$D$17*100</f>
        <v/>
      </c>
    </row>
    <row r="110">
      <c r="D110" s="426" t="inlineStr">
        <is>
          <t>Summary financials</t>
        </is>
      </c>
      <c r="E110" s="90" t="n"/>
      <c r="F110" s="428" t="n"/>
      <c r="G110" s="427" t="n"/>
      <c r="H110" s="90" t="n"/>
      <c r="I110" s="428" t="n"/>
      <c r="J110" s="427" t="n"/>
      <c r="K110" s="427" t="n"/>
      <c r="L110" s="427" t="n"/>
      <c r="M110" s="427" t="n"/>
      <c r="N110" s="427" t="n"/>
      <c r="O110" s="427" t="n"/>
      <c r="P110" s="427" t="n"/>
      <c r="Q110" s="427" t="n"/>
      <c r="R110" s="427" t="n"/>
      <c r="S110" s="427" t="n"/>
      <c r="T110" s="518" t="n"/>
    </row>
    <row r="111">
      <c r="D111" s="71">
        <f>TEXT(Assumptions!$D$11,"mmmm")&amp;" YE ($mm)"</f>
        <v/>
      </c>
      <c r="E111" s="429" t="n"/>
      <c r="F111" s="519">
        <f>F22</f>
        <v/>
      </c>
      <c r="G111" s="519">
        <f>G22</f>
        <v/>
      </c>
      <c r="H111" s="520">
        <f>H22</f>
        <v/>
      </c>
      <c r="I111" s="520">
        <f>I22</f>
        <v/>
      </c>
      <c r="J111" s="520">
        <f>J22</f>
        <v/>
      </c>
      <c r="K111" s="520">
        <f>K22</f>
        <v/>
      </c>
      <c r="L111" s="520">
        <f>L22</f>
        <v/>
      </c>
      <c r="M111" s="520">
        <f>M22</f>
        <v/>
      </c>
      <c r="N111" s="520">
        <f>N22</f>
        <v/>
      </c>
      <c r="O111" s="520">
        <f>O22</f>
        <v/>
      </c>
      <c r="P111" s="520">
        <f>P22</f>
        <v/>
      </c>
      <c r="Q111" s="520">
        <f>Q22</f>
        <v/>
      </c>
      <c r="R111" s="520">
        <f>R22</f>
        <v/>
      </c>
      <c r="S111" s="520">
        <f>S22</f>
        <v/>
      </c>
      <c r="T111" s="520" t="n"/>
    </row>
    <row r="112">
      <c r="D112" s="38" t="inlineStr">
        <is>
          <t>EBITDA</t>
        </is>
      </c>
      <c r="E112" s="93" t="n"/>
      <c r="F112" s="521">
        <f>F27</f>
        <v/>
      </c>
      <c r="G112" s="521">
        <f>G27</f>
        <v/>
      </c>
      <c r="H112" s="521">
        <f>H27</f>
        <v/>
      </c>
      <c r="I112" s="521">
        <f>I27</f>
        <v/>
      </c>
      <c r="J112" s="521">
        <f>J27</f>
        <v/>
      </c>
      <c r="K112" s="521">
        <f>K27</f>
        <v/>
      </c>
      <c r="L112" s="521">
        <f>L27</f>
        <v/>
      </c>
      <c r="M112" s="521">
        <f>M27</f>
        <v/>
      </c>
      <c r="N112" s="521">
        <f>N27</f>
        <v/>
      </c>
      <c r="O112" s="521">
        <f>O27</f>
        <v/>
      </c>
      <c r="P112" s="521">
        <f>P27</f>
        <v/>
      </c>
      <c r="Q112" s="521">
        <f>Q27</f>
        <v/>
      </c>
      <c r="R112" s="521">
        <f>R27</f>
        <v/>
      </c>
      <c r="S112" s="521">
        <f>S27</f>
        <v/>
      </c>
      <c r="T112" s="521" t="n"/>
    </row>
    <row r="113">
      <c r="D113" s="39" t="inlineStr">
        <is>
          <t>% margin</t>
        </is>
      </c>
      <c r="E113" s="94" t="n"/>
      <c r="F113" s="522">
        <f>F112/F$24</f>
        <v/>
      </c>
      <c r="G113" s="522">
        <f>G112/G$24</f>
        <v/>
      </c>
      <c r="H113" s="522">
        <f>H112/H$24</f>
        <v/>
      </c>
      <c r="I113" s="522">
        <f>I112/I$24</f>
        <v/>
      </c>
      <c r="J113" s="522">
        <f>J112/J$24</f>
        <v/>
      </c>
      <c r="K113" s="522">
        <f>K112/K$24</f>
        <v/>
      </c>
      <c r="L113" s="522">
        <f>L112/L$24</f>
        <v/>
      </c>
      <c r="M113" s="522">
        <f>M112/M$24</f>
        <v/>
      </c>
      <c r="N113" s="522">
        <f>N112/N$24</f>
        <v/>
      </c>
      <c r="O113" s="522">
        <f>O112/O$24</f>
        <v/>
      </c>
      <c r="P113" s="522">
        <f>P112/P$24</f>
        <v/>
      </c>
      <c r="Q113" s="522">
        <f>Q112/Q$24</f>
        <v/>
      </c>
      <c r="R113" s="522">
        <f>R112/R$24</f>
        <v/>
      </c>
      <c r="S113" s="522">
        <f>S112/S$24</f>
        <v/>
      </c>
      <c r="T113" s="522" t="n"/>
    </row>
    <row r="114">
      <c r="D114" s="38" t="inlineStr">
        <is>
          <t>D&amp;A</t>
        </is>
      </c>
      <c r="E114" s="94" t="n"/>
      <c r="F114" s="523">
        <f>F46</f>
        <v/>
      </c>
      <c r="G114" s="523">
        <f>G46</f>
        <v/>
      </c>
      <c r="H114" s="523">
        <f>H46</f>
        <v/>
      </c>
      <c r="I114" s="523">
        <f>I46</f>
        <v/>
      </c>
      <c r="J114" s="523">
        <f>J46</f>
        <v/>
      </c>
      <c r="K114" s="523">
        <f>K46</f>
        <v/>
      </c>
      <c r="L114" s="523">
        <f>L46</f>
        <v/>
      </c>
      <c r="M114" s="523">
        <f>M46</f>
        <v/>
      </c>
      <c r="N114" s="523">
        <f>N46</f>
        <v/>
      </c>
      <c r="O114" s="523">
        <f>O46</f>
        <v/>
      </c>
      <c r="P114" s="523">
        <f>P46</f>
        <v/>
      </c>
      <c r="Q114" s="523">
        <f>Q46</f>
        <v/>
      </c>
      <c r="R114" s="523">
        <f>R46</f>
        <v/>
      </c>
      <c r="S114" s="523">
        <f>S46</f>
        <v/>
      </c>
      <c r="T114" s="523" t="n"/>
    </row>
    <row r="115">
      <c r="D115" s="39" t="inlineStr">
        <is>
          <t>% of capex</t>
        </is>
      </c>
      <c r="E115" s="94" t="n"/>
      <c r="F115" s="522">
        <f>-F114/F48</f>
        <v/>
      </c>
      <c r="G115" s="522">
        <f>-G114/G48</f>
        <v/>
      </c>
      <c r="H115" s="522">
        <f>-H114/H48</f>
        <v/>
      </c>
      <c r="I115" s="522">
        <f>-I114/I48</f>
        <v/>
      </c>
      <c r="J115" s="522">
        <f>-J114/J48</f>
        <v/>
      </c>
      <c r="K115" s="522">
        <f>-K114/K48</f>
        <v/>
      </c>
      <c r="L115" s="522">
        <f>-L114/L48</f>
        <v/>
      </c>
      <c r="M115" s="522">
        <f>-M114/M48</f>
        <v/>
      </c>
      <c r="N115" s="522">
        <f>-N114/N48</f>
        <v/>
      </c>
      <c r="O115" s="522">
        <f>-O114/O48</f>
        <v/>
      </c>
      <c r="P115" s="522">
        <f>-P114/P48</f>
        <v/>
      </c>
      <c r="Q115" s="522">
        <f>-Q114/Q48</f>
        <v/>
      </c>
      <c r="R115" s="522">
        <f>-R114/R48</f>
        <v/>
      </c>
      <c r="S115" s="522">
        <f>-S114/S48</f>
        <v/>
      </c>
      <c r="T115" s="522" t="n"/>
    </row>
    <row r="116" ht="12.75" customHeight="1">
      <c r="D116" s="38" t="inlineStr">
        <is>
          <t>EBIT</t>
        </is>
      </c>
      <c r="E116" s="92" t="n"/>
      <c r="F116" s="521">
        <f>F35</f>
        <v/>
      </c>
      <c r="G116" s="521">
        <f>G35</f>
        <v/>
      </c>
      <c r="H116" s="521">
        <f>H35</f>
        <v/>
      </c>
      <c r="I116" s="521">
        <f>I35</f>
        <v/>
      </c>
      <c r="J116" s="521">
        <f>J35</f>
        <v/>
      </c>
      <c r="K116" s="521">
        <f>K35</f>
        <v/>
      </c>
      <c r="L116" s="521">
        <f>L35</f>
        <v/>
      </c>
      <c r="M116" s="521">
        <f>M35</f>
        <v/>
      </c>
      <c r="N116" s="521">
        <f>N35</f>
        <v/>
      </c>
      <c r="O116" s="521">
        <f>O35</f>
        <v/>
      </c>
      <c r="P116" s="521">
        <f>P35</f>
        <v/>
      </c>
      <c r="Q116" s="521">
        <f>Q35</f>
        <v/>
      </c>
      <c r="R116" s="521">
        <f>R35</f>
        <v/>
      </c>
      <c r="S116" s="521">
        <f>S35</f>
        <v/>
      </c>
      <c r="T116" s="521" t="n"/>
    </row>
    <row r="117">
      <c r="D117" s="39" t="inlineStr">
        <is>
          <t>% margin</t>
        </is>
      </c>
      <c r="E117" s="95" t="n"/>
      <c r="F117" s="522">
        <f>F116/F$24</f>
        <v/>
      </c>
      <c r="G117" s="522">
        <f>G116/G$24</f>
        <v/>
      </c>
      <c r="H117" s="522">
        <f>H116/H$24</f>
        <v/>
      </c>
      <c r="I117" s="522">
        <f>I116/I$24</f>
        <v/>
      </c>
      <c r="J117" s="522">
        <f>J116/J$24</f>
        <v/>
      </c>
      <c r="K117" s="522">
        <f>K116/K$24</f>
        <v/>
      </c>
      <c r="L117" s="522">
        <f>L116/L$24</f>
        <v/>
      </c>
      <c r="M117" s="522">
        <f>M116/M$24</f>
        <v/>
      </c>
      <c r="N117" s="522">
        <f>N116/N$24</f>
        <v/>
      </c>
      <c r="O117" s="522">
        <f>O116/O$24</f>
        <v/>
      </c>
      <c r="P117" s="522">
        <f>P116/P$24</f>
        <v/>
      </c>
      <c r="Q117" s="522">
        <f>Q116/Q$24</f>
        <v/>
      </c>
      <c r="R117" s="522">
        <f>R116/R$24</f>
        <v/>
      </c>
      <c r="S117" s="522">
        <f>S116/S$24</f>
        <v/>
      </c>
      <c r="T117" s="522" t="n"/>
    </row>
    <row r="118">
      <c r="D118" s="38" t="inlineStr">
        <is>
          <t>Tax</t>
        </is>
      </c>
      <c r="E118" s="95" t="n"/>
      <c r="F118" s="523">
        <f>F39</f>
        <v/>
      </c>
      <c r="G118" s="523">
        <f>G39</f>
        <v/>
      </c>
      <c r="H118" s="523">
        <f>H39</f>
        <v/>
      </c>
      <c r="I118" s="523">
        <f>I39</f>
        <v/>
      </c>
      <c r="J118" s="523">
        <f>J39</f>
        <v/>
      </c>
      <c r="K118" s="523">
        <f>K39</f>
        <v/>
      </c>
      <c r="L118" s="523">
        <f>L39</f>
        <v/>
      </c>
      <c r="M118" s="523">
        <f>M39</f>
        <v/>
      </c>
      <c r="N118" s="523">
        <f>N39</f>
        <v/>
      </c>
      <c r="O118" s="523">
        <f>O39</f>
        <v/>
      </c>
      <c r="P118" s="523">
        <f>P39</f>
        <v/>
      </c>
      <c r="Q118" s="523">
        <f>Q39</f>
        <v/>
      </c>
      <c r="R118" s="523">
        <f>R39</f>
        <v/>
      </c>
      <c r="S118" s="523">
        <f>S39</f>
        <v/>
      </c>
      <c r="T118" s="523" t="n"/>
    </row>
    <row r="119">
      <c r="D119" s="39" t="inlineStr">
        <is>
          <t>Tax rate</t>
        </is>
      </c>
      <c r="E119" s="95" t="n"/>
      <c r="F119" s="522">
        <f>F40</f>
        <v/>
      </c>
      <c r="G119" s="522">
        <f>G40</f>
        <v/>
      </c>
      <c r="H119" s="522">
        <f>H40</f>
        <v/>
      </c>
      <c r="I119" s="522">
        <f>I40</f>
        <v/>
      </c>
      <c r="J119" s="522">
        <f>J40</f>
        <v/>
      </c>
      <c r="K119" s="522">
        <f>K40</f>
        <v/>
      </c>
      <c r="L119" s="522">
        <f>L40</f>
        <v/>
      </c>
      <c r="M119" s="522">
        <f>M40</f>
        <v/>
      </c>
      <c r="N119" s="522">
        <f>N40</f>
        <v/>
      </c>
      <c r="O119" s="522">
        <f>O40</f>
        <v/>
      </c>
      <c r="P119" s="522">
        <f>P40</f>
        <v/>
      </c>
      <c r="Q119" s="522">
        <f>Q40</f>
        <v/>
      </c>
      <c r="R119" s="522">
        <f>R40</f>
        <v/>
      </c>
      <c r="S119" s="522">
        <f>S40</f>
        <v/>
      </c>
      <c r="T119" s="522" t="n"/>
    </row>
    <row r="120">
      <c r="D120" s="38" t="inlineStr">
        <is>
          <t>EBIAT</t>
        </is>
      </c>
      <c r="E120" s="95" t="n"/>
      <c r="F120" s="523">
        <f>F42</f>
        <v/>
      </c>
      <c r="G120" s="523">
        <f>G42</f>
        <v/>
      </c>
      <c r="H120" s="523">
        <f>H42</f>
        <v/>
      </c>
      <c r="I120" s="523">
        <f>I42</f>
        <v/>
      </c>
      <c r="J120" s="523">
        <f>J42</f>
        <v/>
      </c>
      <c r="K120" s="523">
        <f>K42</f>
        <v/>
      </c>
      <c r="L120" s="523">
        <f>L42</f>
        <v/>
      </c>
      <c r="M120" s="523">
        <f>M42</f>
        <v/>
      </c>
      <c r="N120" s="523">
        <f>N42</f>
        <v/>
      </c>
      <c r="O120" s="523">
        <f>O42</f>
        <v/>
      </c>
      <c r="P120" s="523">
        <f>P42</f>
        <v/>
      </c>
      <c r="Q120" s="523">
        <f>Q42</f>
        <v/>
      </c>
      <c r="R120" s="523">
        <f>R42</f>
        <v/>
      </c>
      <c r="S120" s="523">
        <f>S42</f>
        <v/>
      </c>
      <c r="T120" s="523" t="n"/>
    </row>
    <row r="121">
      <c r="D121" s="106" t="inlineStr">
        <is>
          <t>+D&amp;A</t>
        </is>
      </c>
      <c r="E121" s="95" t="n"/>
      <c r="F121" s="523">
        <f>-F31</f>
        <v/>
      </c>
      <c r="G121" s="523">
        <f>-G31</f>
        <v/>
      </c>
      <c r="H121" s="523">
        <f>-H31</f>
        <v/>
      </c>
      <c r="I121" s="523">
        <f>-I31</f>
        <v/>
      </c>
      <c r="J121" s="523">
        <f>-J31</f>
        <v/>
      </c>
      <c r="K121" s="523">
        <f>-K31</f>
        <v/>
      </c>
      <c r="L121" s="523">
        <f>-L31</f>
        <v/>
      </c>
      <c r="M121" s="523">
        <f>-M31</f>
        <v/>
      </c>
      <c r="N121" s="523">
        <f>-N31</f>
        <v/>
      </c>
      <c r="O121" s="523">
        <f>-O31</f>
        <v/>
      </c>
      <c r="P121" s="523">
        <f>-P31</f>
        <v/>
      </c>
      <c r="Q121" s="523">
        <f>-Q31</f>
        <v/>
      </c>
      <c r="R121" s="523">
        <f>-R31</f>
        <v/>
      </c>
      <c r="S121" s="523">
        <f>-S31</f>
        <v/>
      </c>
      <c r="T121" s="523" t="n"/>
    </row>
    <row r="122">
      <c r="D122" s="106" t="inlineStr">
        <is>
          <t>+ Maintenance capex</t>
        </is>
      </c>
      <c r="E122" s="95" t="n"/>
      <c r="F122" s="523">
        <f>F48</f>
        <v/>
      </c>
      <c r="G122" s="523">
        <f>G48</f>
        <v/>
      </c>
      <c r="H122" s="523">
        <f>H48</f>
        <v/>
      </c>
      <c r="I122" s="523">
        <f>I48</f>
        <v/>
      </c>
      <c r="J122" s="523">
        <f>J48</f>
        <v/>
      </c>
      <c r="K122" s="523">
        <f>K48</f>
        <v/>
      </c>
      <c r="L122" s="523">
        <f>L48</f>
        <v/>
      </c>
      <c r="M122" s="523">
        <f>M48</f>
        <v/>
      </c>
      <c r="N122" s="523">
        <f>N48</f>
        <v/>
      </c>
      <c r="O122" s="523">
        <f>O48</f>
        <v/>
      </c>
      <c r="P122" s="523">
        <f>P48</f>
        <v/>
      </c>
      <c r="Q122" s="523">
        <f>Q48</f>
        <v/>
      </c>
      <c r="R122" s="523">
        <f>R48</f>
        <v/>
      </c>
      <c r="S122" s="523">
        <f>S48</f>
        <v/>
      </c>
      <c r="T122" s="523" t="n"/>
    </row>
    <row r="123">
      <c r="D123" s="106" t="inlineStr">
        <is>
          <t>+Change in working capital</t>
        </is>
      </c>
      <c r="E123" s="95" t="n"/>
      <c r="F123" s="523">
        <f>F52</f>
        <v/>
      </c>
      <c r="G123" s="523">
        <f>G52</f>
        <v/>
      </c>
      <c r="H123" s="521">
        <f>H52</f>
        <v/>
      </c>
      <c r="I123" s="521">
        <f>I52</f>
        <v/>
      </c>
      <c r="J123" s="521">
        <f>J52</f>
        <v/>
      </c>
      <c r="K123" s="521">
        <f>K52</f>
        <v/>
      </c>
      <c r="L123" s="521">
        <f>L52</f>
        <v/>
      </c>
      <c r="M123" s="521">
        <f>M52</f>
        <v/>
      </c>
      <c r="N123" s="521">
        <f>N52</f>
        <v/>
      </c>
      <c r="O123" s="521">
        <f>O52</f>
        <v/>
      </c>
      <c r="P123" s="521">
        <f>P52</f>
        <v/>
      </c>
      <c r="Q123" s="521">
        <f>Q52</f>
        <v/>
      </c>
      <c r="R123" s="521">
        <f>R52</f>
        <v/>
      </c>
      <c r="S123" s="521">
        <f>S52</f>
        <v/>
      </c>
      <c r="T123" s="521" t="n"/>
    </row>
    <row r="124">
      <c r="D124" s="106" t="inlineStr">
        <is>
          <t>+ Exceptional cash flows</t>
        </is>
      </c>
      <c r="E124" s="95" t="n"/>
      <c r="F124" s="523">
        <f>+F58</f>
        <v/>
      </c>
      <c r="G124" s="523">
        <f>+G58</f>
        <v/>
      </c>
      <c r="H124" s="523">
        <f>+H58</f>
        <v/>
      </c>
      <c r="I124" s="523">
        <f>+I58</f>
        <v/>
      </c>
      <c r="J124" s="523">
        <f>+J58</f>
        <v/>
      </c>
      <c r="K124" s="523">
        <f>+K58</f>
        <v/>
      </c>
      <c r="L124" s="523">
        <f>+L58</f>
        <v/>
      </c>
      <c r="M124" s="523">
        <f>+M58</f>
        <v/>
      </c>
      <c r="N124" s="523">
        <f>+N58</f>
        <v/>
      </c>
      <c r="O124" s="523">
        <f>+O58</f>
        <v/>
      </c>
      <c r="P124" s="523">
        <f>+P58</f>
        <v/>
      </c>
      <c r="Q124" s="523">
        <f>+Q58</f>
        <v/>
      </c>
      <c r="R124" s="523">
        <f>+R58</f>
        <v/>
      </c>
      <c r="S124" s="523">
        <f>+S58</f>
        <v/>
      </c>
      <c r="T124" s="521" t="n"/>
    </row>
    <row r="125">
      <c r="D125" s="106" t="inlineStr">
        <is>
          <t>+ Other cash flows</t>
        </is>
      </c>
      <c r="E125" s="95" t="n"/>
      <c r="F125" s="523">
        <f>+F55</f>
        <v/>
      </c>
      <c r="G125" s="523">
        <f>+G55</f>
        <v/>
      </c>
      <c r="H125" s="523">
        <f>+H55</f>
        <v/>
      </c>
      <c r="I125" s="523">
        <f>+I55</f>
        <v/>
      </c>
      <c r="J125" s="523">
        <f>+J55</f>
        <v/>
      </c>
      <c r="K125" s="523">
        <f>+K55</f>
        <v/>
      </c>
      <c r="L125" s="523">
        <f>+L55</f>
        <v/>
      </c>
      <c r="M125" s="523">
        <f>+M55</f>
        <v/>
      </c>
      <c r="N125" s="523">
        <f>+N55</f>
        <v/>
      </c>
      <c r="O125" s="523">
        <f>+O55</f>
        <v/>
      </c>
      <c r="P125" s="523">
        <f>+P55</f>
        <v/>
      </c>
      <c r="Q125" s="523">
        <f>+Q55</f>
        <v/>
      </c>
      <c r="R125" s="523">
        <f>+R55</f>
        <v/>
      </c>
      <c r="S125" s="523">
        <f>+S55</f>
        <v/>
      </c>
      <c r="T125" s="521" t="n"/>
    </row>
    <row r="126">
      <c r="D126" s="39" t="n"/>
      <c r="E126" s="96" t="n"/>
      <c r="F126" s="96" t="n"/>
      <c r="G126" s="96" t="n"/>
      <c r="H126" s="96" t="n"/>
      <c r="I126" s="96" t="n"/>
      <c r="J126" s="96" t="n"/>
      <c r="K126" s="96" t="n"/>
      <c r="L126" s="96" t="n"/>
      <c r="M126" s="96" t="n"/>
      <c r="N126" s="96" t="n"/>
      <c r="O126" s="96" t="n"/>
      <c r="P126" s="96" t="n"/>
      <c r="Q126" s="96" t="n"/>
      <c r="R126" s="96" t="n"/>
      <c r="S126" s="96" t="n"/>
      <c r="T126" s="96" t="n"/>
    </row>
    <row r="127">
      <c r="D127" s="97" t="inlineStr">
        <is>
          <t>FCF</t>
        </is>
      </c>
      <c r="E127" s="98" t="n"/>
      <c r="F127" s="480">
        <f>SUM(F120:F125)</f>
        <v/>
      </c>
      <c r="G127" s="480">
        <f>SUM(G120:G125)</f>
        <v/>
      </c>
      <c r="H127" s="480">
        <f>SUM(H120:H125)</f>
        <v/>
      </c>
      <c r="I127" s="480">
        <f>SUM(I120:I125)</f>
        <v/>
      </c>
      <c r="J127" s="480">
        <f>SUM(J120:J125)</f>
        <v/>
      </c>
      <c r="K127" s="480">
        <f>SUM(K120:K125)</f>
        <v/>
      </c>
      <c r="L127" s="480">
        <f>SUM(L120:L125)</f>
        <v/>
      </c>
      <c r="M127" s="480">
        <f>SUM(M120:M125)</f>
        <v/>
      </c>
      <c r="N127" s="480">
        <f>SUM(N120:N125)</f>
        <v/>
      </c>
      <c r="O127" s="480">
        <f>SUM(O120:O125)</f>
        <v/>
      </c>
      <c r="P127" s="480">
        <f>SUM(P120:P125)</f>
        <v/>
      </c>
      <c r="Q127" s="480">
        <f>SUM(Q120:Q125)</f>
        <v/>
      </c>
      <c r="R127" s="480">
        <f>SUM(R120:R125)</f>
        <v/>
      </c>
      <c r="S127" s="480">
        <f>SUM(S120:S125)</f>
        <v/>
      </c>
      <c r="T127" s="480" t="n"/>
    </row>
  </sheetData>
  <pageMargins left="0.7" right="0.7" top="0.75" bottom="0.75" header="0.3" footer="0.3"/>
  <pageSetup orientation="portrait" paperSize="9" scale="3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44"/>
  <sheetViews>
    <sheetView showGridLines="0" zoomScaleNormal="100" workbookViewId="0">
      <selection activeCell="D1" sqref="D1"/>
    </sheetView>
  </sheetViews>
  <sheetFormatPr baseColWidth="10" defaultColWidth="8.83203125" defaultRowHeight="13"/>
  <cols>
    <col width="2.6640625" customWidth="1" style="162" min="1" max="2"/>
    <col width="12" customWidth="1" style="162" min="3" max="5"/>
    <col width="9.1640625" customWidth="1" style="162" min="6" max="7"/>
    <col width="0.83203125" customWidth="1" style="162" min="8" max="8"/>
    <col width="12.6640625" customWidth="1" style="162" min="9" max="19"/>
    <col width="9.1640625" customWidth="1" style="162" min="20" max="253"/>
    <col width="2.6640625" customWidth="1" style="162" min="254" max="255"/>
    <col width="12" customWidth="1" style="162" min="256" max="258"/>
    <col width="9.1640625" customWidth="1" style="162" min="259" max="260"/>
    <col width="0.83203125" customWidth="1" style="162" min="261" max="261"/>
    <col width="7.6640625" customWidth="1" style="162" min="262" max="275"/>
    <col width="9.1640625" customWidth="1" style="162" min="276" max="509"/>
    <col width="2.6640625" customWidth="1" style="162" min="510" max="511"/>
    <col width="12" customWidth="1" style="162" min="512" max="514"/>
    <col width="9.1640625" customWidth="1" style="162" min="515" max="516"/>
    <col width="0.83203125" customWidth="1" style="162" min="517" max="517"/>
    <col width="7.6640625" customWidth="1" style="162" min="518" max="531"/>
    <col width="9.1640625" customWidth="1" style="162" min="532" max="765"/>
    <col width="2.6640625" customWidth="1" style="162" min="766" max="767"/>
    <col width="12" customWidth="1" style="162" min="768" max="770"/>
    <col width="9.1640625" customWidth="1" style="162" min="771" max="772"/>
    <col width="0.83203125" customWidth="1" style="162" min="773" max="773"/>
    <col width="7.6640625" customWidth="1" style="162" min="774" max="787"/>
    <col width="9.1640625" customWidth="1" style="162" min="788" max="1021"/>
    <col width="2.6640625" customWidth="1" style="162" min="1022" max="1023"/>
    <col width="12" customWidth="1" style="162" min="1024" max="1026"/>
    <col width="9.1640625" customWidth="1" style="162" min="1027" max="1028"/>
    <col width="0.83203125" customWidth="1" style="162" min="1029" max="1029"/>
    <col width="7.6640625" customWidth="1" style="162" min="1030" max="1043"/>
    <col width="9.1640625" customWidth="1" style="162" min="1044" max="1277"/>
    <col width="2.6640625" customWidth="1" style="162" min="1278" max="1279"/>
    <col width="12" customWidth="1" style="162" min="1280" max="1282"/>
    <col width="9.1640625" customWidth="1" style="162" min="1283" max="1284"/>
    <col width="0.83203125" customWidth="1" style="162" min="1285" max="1285"/>
    <col width="7.6640625" customWidth="1" style="162" min="1286" max="1299"/>
    <col width="9.1640625" customWidth="1" style="162" min="1300" max="1533"/>
    <col width="2.6640625" customWidth="1" style="162" min="1534" max="1535"/>
    <col width="12" customWidth="1" style="162" min="1536" max="1538"/>
    <col width="9.1640625" customWidth="1" style="162" min="1539" max="1540"/>
    <col width="0.83203125" customWidth="1" style="162" min="1541" max="1541"/>
    <col width="7.6640625" customWidth="1" style="162" min="1542" max="1555"/>
    <col width="9.1640625" customWidth="1" style="162" min="1556" max="1789"/>
    <col width="2.6640625" customWidth="1" style="162" min="1790" max="1791"/>
    <col width="12" customWidth="1" style="162" min="1792" max="1794"/>
    <col width="9.1640625" customWidth="1" style="162" min="1795" max="1796"/>
    <col width="0.83203125" customWidth="1" style="162" min="1797" max="1797"/>
    <col width="7.6640625" customWidth="1" style="162" min="1798" max="1811"/>
    <col width="9.1640625" customWidth="1" style="162" min="1812" max="2045"/>
    <col width="2.6640625" customWidth="1" style="162" min="2046" max="2047"/>
    <col width="12" customWidth="1" style="162" min="2048" max="2050"/>
    <col width="9.1640625" customWidth="1" style="162" min="2051" max="2052"/>
    <col width="0.83203125" customWidth="1" style="162" min="2053" max="2053"/>
    <col width="7.6640625" customWidth="1" style="162" min="2054" max="2067"/>
    <col width="9.1640625" customWidth="1" style="162" min="2068" max="2301"/>
    <col width="2.6640625" customWidth="1" style="162" min="2302" max="2303"/>
    <col width="12" customWidth="1" style="162" min="2304" max="2306"/>
    <col width="9.1640625" customWidth="1" style="162" min="2307" max="2308"/>
    <col width="0.83203125" customWidth="1" style="162" min="2309" max="2309"/>
    <col width="7.6640625" customWidth="1" style="162" min="2310" max="2323"/>
    <col width="9.1640625" customWidth="1" style="162" min="2324" max="2557"/>
    <col width="2.6640625" customWidth="1" style="162" min="2558" max="2559"/>
    <col width="12" customWidth="1" style="162" min="2560" max="2562"/>
    <col width="9.1640625" customWidth="1" style="162" min="2563" max="2564"/>
    <col width="0.83203125" customWidth="1" style="162" min="2565" max="2565"/>
    <col width="7.6640625" customWidth="1" style="162" min="2566" max="2579"/>
    <col width="9.1640625" customWidth="1" style="162" min="2580" max="2813"/>
    <col width="2.6640625" customWidth="1" style="162" min="2814" max="2815"/>
    <col width="12" customWidth="1" style="162" min="2816" max="2818"/>
    <col width="9.1640625" customWidth="1" style="162" min="2819" max="2820"/>
    <col width="0.83203125" customWidth="1" style="162" min="2821" max="2821"/>
    <col width="7.6640625" customWidth="1" style="162" min="2822" max="2835"/>
    <col width="9.1640625" customWidth="1" style="162" min="2836" max="3069"/>
    <col width="2.6640625" customWidth="1" style="162" min="3070" max="3071"/>
    <col width="12" customWidth="1" style="162" min="3072" max="3074"/>
    <col width="9.1640625" customWidth="1" style="162" min="3075" max="3076"/>
    <col width="0.83203125" customWidth="1" style="162" min="3077" max="3077"/>
    <col width="7.6640625" customWidth="1" style="162" min="3078" max="3091"/>
    <col width="9.1640625" customWidth="1" style="162" min="3092" max="3325"/>
    <col width="2.6640625" customWidth="1" style="162" min="3326" max="3327"/>
    <col width="12" customWidth="1" style="162" min="3328" max="3330"/>
    <col width="9.1640625" customWidth="1" style="162" min="3331" max="3332"/>
    <col width="0.83203125" customWidth="1" style="162" min="3333" max="3333"/>
    <col width="7.6640625" customWidth="1" style="162" min="3334" max="3347"/>
    <col width="9.1640625" customWidth="1" style="162" min="3348" max="3581"/>
    <col width="2.6640625" customWidth="1" style="162" min="3582" max="3583"/>
    <col width="12" customWidth="1" style="162" min="3584" max="3586"/>
    <col width="9.1640625" customWidth="1" style="162" min="3587" max="3588"/>
    <col width="0.83203125" customWidth="1" style="162" min="3589" max="3589"/>
    <col width="7.6640625" customWidth="1" style="162" min="3590" max="3603"/>
    <col width="9.1640625" customWidth="1" style="162" min="3604" max="3837"/>
    <col width="2.6640625" customWidth="1" style="162" min="3838" max="3839"/>
    <col width="12" customWidth="1" style="162" min="3840" max="3842"/>
    <col width="9.1640625" customWidth="1" style="162" min="3843" max="3844"/>
    <col width="0.83203125" customWidth="1" style="162" min="3845" max="3845"/>
    <col width="7.6640625" customWidth="1" style="162" min="3846" max="3859"/>
    <col width="9.1640625" customWidth="1" style="162" min="3860" max="4093"/>
    <col width="2.6640625" customWidth="1" style="162" min="4094" max="4095"/>
    <col width="12" customWidth="1" style="162" min="4096" max="4098"/>
    <col width="9.1640625" customWidth="1" style="162" min="4099" max="4100"/>
    <col width="0.83203125" customWidth="1" style="162" min="4101" max="4101"/>
    <col width="7.6640625" customWidth="1" style="162" min="4102" max="4115"/>
    <col width="9.1640625" customWidth="1" style="162" min="4116" max="4349"/>
    <col width="2.6640625" customWidth="1" style="162" min="4350" max="4351"/>
    <col width="12" customWidth="1" style="162" min="4352" max="4354"/>
    <col width="9.1640625" customWidth="1" style="162" min="4355" max="4356"/>
    <col width="0.83203125" customWidth="1" style="162" min="4357" max="4357"/>
    <col width="7.6640625" customWidth="1" style="162" min="4358" max="4371"/>
    <col width="9.1640625" customWidth="1" style="162" min="4372" max="4605"/>
    <col width="2.6640625" customWidth="1" style="162" min="4606" max="4607"/>
    <col width="12" customWidth="1" style="162" min="4608" max="4610"/>
    <col width="9.1640625" customWidth="1" style="162" min="4611" max="4612"/>
    <col width="0.83203125" customWidth="1" style="162" min="4613" max="4613"/>
    <col width="7.6640625" customWidth="1" style="162" min="4614" max="4627"/>
    <col width="9.1640625" customWidth="1" style="162" min="4628" max="4861"/>
    <col width="2.6640625" customWidth="1" style="162" min="4862" max="4863"/>
    <col width="12" customWidth="1" style="162" min="4864" max="4866"/>
    <col width="9.1640625" customWidth="1" style="162" min="4867" max="4868"/>
    <col width="0.83203125" customWidth="1" style="162" min="4869" max="4869"/>
    <col width="7.6640625" customWidth="1" style="162" min="4870" max="4883"/>
    <col width="9.1640625" customWidth="1" style="162" min="4884" max="5117"/>
    <col width="2.6640625" customWidth="1" style="162" min="5118" max="5119"/>
    <col width="12" customWidth="1" style="162" min="5120" max="5122"/>
    <col width="9.1640625" customWidth="1" style="162" min="5123" max="5124"/>
    <col width="0.83203125" customWidth="1" style="162" min="5125" max="5125"/>
    <col width="7.6640625" customWidth="1" style="162" min="5126" max="5139"/>
    <col width="9.1640625" customWidth="1" style="162" min="5140" max="5373"/>
    <col width="2.6640625" customWidth="1" style="162" min="5374" max="5375"/>
    <col width="12" customWidth="1" style="162" min="5376" max="5378"/>
    <col width="9.1640625" customWidth="1" style="162" min="5379" max="5380"/>
    <col width="0.83203125" customWidth="1" style="162" min="5381" max="5381"/>
    <col width="7.6640625" customWidth="1" style="162" min="5382" max="5395"/>
    <col width="9.1640625" customWidth="1" style="162" min="5396" max="5629"/>
    <col width="2.6640625" customWidth="1" style="162" min="5630" max="5631"/>
    <col width="12" customWidth="1" style="162" min="5632" max="5634"/>
    <col width="9.1640625" customWidth="1" style="162" min="5635" max="5636"/>
    <col width="0.83203125" customWidth="1" style="162" min="5637" max="5637"/>
    <col width="7.6640625" customWidth="1" style="162" min="5638" max="5651"/>
    <col width="9.1640625" customWidth="1" style="162" min="5652" max="5885"/>
    <col width="2.6640625" customWidth="1" style="162" min="5886" max="5887"/>
    <col width="12" customWidth="1" style="162" min="5888" max="5890"/>
    <col width="9.1640625" customWidth="1" style="162" min="5891" max="5892"/>
    <col width="0.83203125" customWidth="1" style="162" min="5893" max="5893"/>
    <col width="7.6640625" customWidth="1" style="162" min="5894" max="5907"/>
    <col width="9.1640625" customWidth="1" style="162" min="5908" max="6141"/>
    <col width="2.6640625" customWidth="1" style="162" min="6142" max="6143"/>
    <col width="12" customWidth="1" style="162" min="6144" max="6146"/>
    <col width="9.1640625" customWidth="1" style="162" min="6147" max="6148"/>
    <col width="0.83203125" customWidth="1" style="162" min="6149" max="6149"/>
    <col width="7.6640625" customWidth="1" style="162" min="6150" max="6163"/>
    <col width="9.1640625" customWidth="1" style="162" min="6164" max="6397"/>
    <col width="2.6640625" customWidth="1" style="162" min="6398" max="6399"/>
    <col width="12" customWidth="1" style="162" min="6400" max="6402"/>
    <col width="9.1640625" customWidth="1" style="162" min="6403" max="6404"/>
    <col width="0.83203125" customWidth="1" style="162" min="6405" max="6405"/>
    <col width="7.6640625" customWidth="1" style="162" min="6406" max="6419"/>
    <col width="9.1640625" customWidth="1" style="162" min="6420" max="6653"/>
    <col width="2.6640625" customWidth="1" style="162" min="6654" max="6655"/>
    <col width="12" customWidth="1" style="162" min="6656" max="6658"/>
    <col width="9.1640625" customWidth="1" style="162" min="6659" max="6660"/>
    <col width="0.83203125" customWidth="1" style="162" min="6661" max="6661"/>
    <col width="7.6640625" customWidth="1" style="162" min="6662" max="6675"/>
    <col width="9.1640625" customWidth="1" style="162" min="6676" max="6909"/>
    <col width="2.6640625" customWidth="1" style="162" min="6910" max="6911"/>
    <col width="12" customWidth="1" style="162" min="6912" max="6914"/>
    <col width="9.1640625" customWidth="1" style="162" min="6915" max="6916"/>
    <col width="0.83203125" customWidth="1" style="162" min="6917" max="6917"/>
    <col width="7.6640625" customWidth="1" style="162" min="6918" max="6931"/>
    <col width="9.1640625" customWidth="1" style="162" min="6932" max="7165"/>
    <col width="2.6640625" customWidth="1" style="162" min="7166" max="7167"/>
    <col width="12" customWidth="1" style="162" min="7168" max="7170"/>
    <col width="9.1640625" customWidth="1" style="162" min="7171" max="7172"/>
    <col width="0.83203125" customWidth="1" style="162" min="7173" max="7173"/>
    <col width="7.6640625" customWidth="1" style="162" min="7174" max="7187"/>
    <col width="9.1640625" customWidth="1" style="162" min="7188" max="7421"/>
    <col width="2.6640625" customWidth="1" style="162" min="7422" max="7423"/>
    <col width="12" customWidth="1" style="162" min="7424" max="7426"/>
    <col width="9.1640625" customWidth="1" style="162" min="7427" max="7428"/>
    <col width="0.83203125" customWidth="1" style="162" min="7429" max="7429"/>
    <col width="7.6640625" customWidth="1" style="162" min="7430" max="7443"/>
    <col width="9.1640625" customWidth="1" style="162" min="7444" max="7677"/>
    <col width="2.6640625" customWidth="1" style="162" min="7678" max="7679"/>
    <col width="12" customWidth="1" style="162" min="7680" max="7682"/>
    <col width="9.1640625" customWidth="1" style="162" min="7683" max="7684"/>
    <col width="0.83203125" customWidth="1" style="162" min="7685" max="7685"/>
    <col width="7.6640625" customWidth="1" style="162" min="7686" max="7699"/>
    <col width="9.1640625" customWidth="1" style="162" min="7700" max="7933"/>
    <col width="2.6640625" customWidth="1" style="162" min="7934" max="7935"/>
    <col width="12" customWidth="1" style="162" min="7936" max="7938"/>
    <col width="9.1640625" customWidth="1" style="162" min="7939" max="7940"/>
    <col width="0.83203125" customWidth="1" style="162" min="7941" max="7941"/>
    <col width="7.6640625" customWidth="1" style="162" min="7942" max="7955"/>
    <col width="9.1640625" customWidth="1" style="162" min="7956" max="8189"/>
    <col width="2.6640625" customWidth="1" style="162" min="8190" max="8191"/>
    <col width="12" customWidth="1" style="162" min="8192" max="8194"/>
    <col width="9.1640625" customWidth="1" style="162" min="8195" max="8196"/>
    <col width="0.83203125" customWidth="1" style="162" min="8197" max="8197"/>
    <col width="7.6640625" customWidth="1" style="162" min="8198" max="8211"/>
    <col width="9.1640625" customWidth="1" style="162" min="8212" max="8445"/>
    <col width="2.6640625" customWidth="1" style="162" min="8446" max="8447"/>
    <col width="12" customWidth="1" style="162" min="8448" max="8450"/>
    <col width="9.1640625" customWidth="1" style="162" min="8451" max="8452"/>
    <col width="0.83203125" customWidth="1" style="162" min="8453" max="8453"/>
    <col width="7.6640625" customWidth="1" style="162" min="8454" max="8467"/>
    <col width="9.1640625" customWidth="1" style="162" min="8468" max="8701"/>
    <col width="2.6640625" customWidth="1" style="162" min="8702" max="8703"/>
    <col width="12" customWidth="1" style="162" min="8704" max="8706"/>
    <col width="9.1640625" customWidth="1" style="162" min="8707" max="8708"/>
    <col width="0.83203125" customWidth="1" style="162" min="8709" max="8709"/>
    <col width="7.6640625" customWidth="1" style="162" min="8710" max="8723"/>
    <col width="9.1640625" customWidth="1" style="162" min="8724" max="8957"/>
    <col width="2.6640625" customWidth="1" style="162" min="8958" max="8959"/>
    <col width="12" customWidth="1" style="162" min="8960" max="8962"/>
    <col width="9.1640625" customWidth="1" style="162" min="8963" max="8964"/>
    <col width="0.83203125" customWidth="1" style="162" min="8965" max="8965"/>
    <col width="7.6640625" customWidth="1" style="162" min="8966" max="8979"/>
    <col width="9.1640625" customWidth="1" style="162" min="8980" max="9213"/>
    <col width="2.6640625" customWidth="1" style="162" min="9214" max="9215"/>
    <col width="12" customWidth="1" style="162" min="9216" max="9218"/>
    <col width="9.1640625" customWidth="1" style="162" min="9219" max="9220"/>
    <col width="0.83203125" customWidth="1" style="162" min="9221" max="9221"/>
    <col width="7.6640625" customWidth="1" style="162" min="9222" max="9235"/>
    <col width="9.1640625" customWidth="1" style="162" min="9236" max="9469"/>
    <col width="2.6640625" customWidth="1" style="162" min="9470" max="9471"/>
    <col width="12" customWidth="1" style="162" min="9472" max="9474"/>
    <col width="9.1640625" customWidth="1" style="162" min="9475" max="9476"/>
    <col width="0.83203125" customWidth="1" style="162" min="9477" max="9477"/>
    <col width="7.6640625" customWidth="1" style="162" min="9478" max="9491"/>
    <col width="9.1640625" customWidth="1" style="162" min="9492" max="9725"/>
    <col width="2.6640625" customWidth="1" style="162" min="9726" max="9727"/>
    <col width="12" customWidth="1" style="162" min="9728" max="9730"/>
    <col width="9.1640625" customWidth="1" style="162" min="9731" max="9732"/>
    <col width="0.83203125" customWidth="1" style="162" min="9733" max="9733"/>
    <col width="7.6640625" customWidth="1" style="162" min="9734" max="9747"/>
    <col width="9.1640625" customWidth="1" style="162" min="9748" max="9981"/>
    <col width="2.6640625" customWidth="1" style="162" min="9982" max="9983"/>
    <col width="12" customWidth="1" style="162" min="9984" max="9986"/>
    <col width="9.1640625" customWidth="1" style="162" min="9987" max="9988"/>
    <col width="0.83203125" customWidth="1" style="162" min="9989" max="9989"/>
    <col width="7.6640625" customWidth="1" style="162" min="9990" max="10003"/>
    <col width="9.1640625" customWidth="1" style="162" min="10004" max="10237"/>
    <col width="2.6640625" customWidth="1" style="162" min="10238" max="10239"/>
    <col width="12" customWidth="1" style="162" min="10240" max="10242"/>
    <col width="9.1640625" customWidth="1" style="162" min="10243" max="10244"/>
    <col width="0.83203125" customWidth="1" style="162" min="10245" max="10245"/>
    <col width="7.6640625" customWidth="1" style="162" min="10246" max="10259"/>
    <col width="9.1640625" customWidth="1" style="162" min="10260" max="10493"/>
    <col width="2.6640625" customWidth="1" style="162" min="10494" max="10495"/>
    <col width="12" customWidth="1" style="162" min="10496" max="10498"/>
    <col width="9.1640625" customWidth="1" style="162" min="10499" max="10500"/>
    <col width="0.83203125" customWidth="1" style="162" min="10501" max="10501"/>
    <col width="7.6640625" customWidth="1" style="162" min="10502" max="10515"/>
    <col width="9.1640625" customWidth="1" style="162" min="10516" max="10749"/>
    <col width="2.6640625" customWidth="1" style="162" min="10750" max="10751"/>
    <col width="12" customWidth="1" style="162" min="10752" max="10754"/>
    <col width="9.1640625" customWidth="1" style="162" min="10755" max="10756"/>
    <col width="0.83203125" customWidth="1" style="162" min="10757" max="10757"/>
    <col width="7.6640625" customWidth="1" style="162" min="10758" max="10771"/>
    <col width="9.1640625" customWidth="1" style="162" min="10772" max="11005"/>
    <col width="2.6640625" customWidth="1" style="162" min="11006" max="11007"/>
    <col width="12" customWidth="1" style="162" min="11008" max="11010"/>
    <col width="9.1640625" customWidth="1" style="162" min="11011" max="11012"/>
    <col width="0.83203125" customWidth="1" style="162" min="11013" max="11013"/>
    <col width="7.6640625" customWidth="1" style="162" min="11014" max="11027"/>
    <col width="9.1640625" customWidth="1" style="162" min="11028" max="11261"/>
    <col width="2.6640625" customWidth="1" style="162" min="11262" max="11263"/>
    <col width="12" customWidth="1" style="162" min="11264" max="11266"/>
    <col width="9.1640625" customWidth="1" style="162" min="11267" max="11268"/>
    <col width="0.83203125" customWidth="1" style="162" min="11269" max="11269"/>
    <col width="7.6640625" customWidth="1" style="162" min="11270" max="11283"/>
    <col width="9.1640625" customWidth="1" style="162" min="11284" max="11517"/>
    <col width="2.6640625" customWidth="1" style="162" min="11518" max="11519"/>
    <col width="12" customWidth="1" style="162" min="11520" max="11522"/>
    <col width="9.1640625" customWidth="1" style="162" min="11523" max="11524"/>
    <col width="0.83203125" customWidth="1" style="162" min="11525" max="11525"/>
    <col width="7.6640625" customWidth="1" style="162" min="11526" max="11539"/>
    <col width="9.1640625" customWidth="1" style="162" min="11540" max="11773"/>
    <col width="2.6640625" customWidth="1" style="162" min="11774" max="11775"/>
    <col width="12" customWidth="1" style="162" min="11776" max="11778"/>
    <col width="9.1640625" customWidth="1" style="162" min="11779" max="11780"/>
    <col width="0.83203125" customWidth="1" style="162" min="11781" max="11781"/>
    <col width="7.6640625" customWidth="1" style="162" min="11782" max="11795"/>
    <col width="9.1640625" customWidth="1" style="162" min="11796" max="12029"/>
    <col width="2.6640625" customWidth="1" style="162" min="12030" max="12031"/>
    <col width="12" customWidth="1" style="162" min="12032" max="12034"/>
    <col width="9.1640625" customWidth="1" style="162" min="12035" max="12036"/>
    <col width="0.83203125" customWidth="1" style="162" min="12037" max="12037"/>
    <col width="7.6640625" customWidth="1" style="162" min="12038" max="12051"/>
    <col width="9.1640625" customWidth="1" style="162" min="12052" max="12285"/>
    <col width="2.6640625" customWidth="1" style="162" min="12286" max="12287"/>
    <col width="12" customWidth="1" style="162" min="12288" max="12290"/>
    <col width="9.1640625" customWidth="1" style="162" min="12291" max="12292"/>
    <col width="0.83203125" customWidth="1" style="162" min="12293" max="12293"/>
    <col width="7.6640625" customWidth="1" style="162" min="12294" max="12307"/>
    <col width="9.1640625" customWidth="1" style="162" min="12308" max="12541"/>
    <col width="2.6640625" customWidth="1" style="162" min="12542" max="12543"/>
    <col width="12" customWidth="1" style="162" min="12544" max="12546"/>
    <col width="9.1640625" customWidth="1" style="162" min="12547" max="12548"/>
    <col width="0.83203125" customWidth="1" style="162" min="12549" max="12549"/>
    <col width="7.6640625" customWidth="1" style="162" min="12550" max="12563"/>
    <col width="9.1640625" customWidth="1" style="162" min="12564" max="12797"/>
    <col width="2.6640625" customWidth="1" style="162" min="12798" max="12799"/>
    <col width="12" customWidth="1" style="162" min="12800" max="12802"/>
    <col width="9.1640625" customWidth="1" style="162" min="12803" max="12804"/>
    <col width="0.83203125" customWidth="1" style="162" min="12805" max="12805"/>
    <col width="7.6640625" customWidth="1" style="162" min="12806" max="12819"/>
    <col width="9.1640625" customWidth="1" style="162" min="12820" max="13053"/>
    <col width="2.6640625" customWidth="1" style="162" min="13054" max="13055"/>
    <col width="12" customWidth="1" style="162" min="13056" max="13058"/>
    <col width="9.1640625" customWidth="1" style="162" min="13059" max="13060"/>
    <col width="0.83203125" customWidth="1" style="162" min="13061" max="13061"/>
    <col width="7.6640625" customWidth="1" style="162" min="13062" max="13075"/>
    <col width="9.1640625" customWidth="1" style="162" min="13076" max="13309"/>
    <col width="2.6640625" customWidth="1" style="162" min="13310" max="13311"/>
    <col width="12" customWidth="1" style="162" min="13312" max="13314"/>
    <col width="9.1640625" customWidth="1" style="162" min="13315" max="13316"/>
    <col width="0.83203125" customWidth="1" style="162" min="13317" max="13317"/>
    <col width="7.6640625" customWidth="1" style="162" min="13318" max="13331"/>
    <col width="9.1640625" customWidth="1" style="162" min="13332" max="13565"/>
    <col width="2.6640625" customWidth="1" style="162" min="13566" max="13567"/>
    <col width="12" customWidth="1" style="162" min="13568" max="13570"/>
    <col width="9.1640625" customWidth="1" style="162" min="13571" max="13572"/>
    <col width="0.83203125" customWidth="1" style="162" min="13573" max="13573"/>
    <col width="7.6640625" customWidth="1" style="162" min="13574" max="13587"/>
    <col width="9.1640625" customWidth="1" style="162" min="13588" max="13821"/>
    <col width="2.6640625" customWidth="1" style="162" min="13822" max="13823"/>
    <col width="12" customWidth="1" style="162" min="13824" max="13826"/>
    <col width="9.1640625" customWidth="1" style="162" min="13827" max="13828"/>
    <col width="0.83203125" customWidth="1" style="162" min="13829" max="13829"/>
    <col width="7.6640625" customWidth="1" style="162" min="13830" max="13843"/>
    <col width="9.1640625" customWidth="1" style="162" min="13844" max="14077"/>
    <col width="2.6640625" customWidth="1" style="162" min="14078" max="14079"/>
    <col width="12" customWidth="1" style="162" min="14080" max="14082"/>
    <col width="9.1640625" customWidth="1" style="162" min="14083" max="14084"/>
    <col width="0.83203125" customWidth="1" style="162" min="14085" max="14085"/>
    <col width="7.6640625" customWidth="1" style="162" min="14086" max="14099"/>
    <col width="9.1640625" customWidth="1" style="162" min="14100" max="14333"/>
    <col width="2.6640625" customWidth="1" style="162" min="14334" max="14335"/>
    <col width="12" customWidth="1" style="162" min="14336" max="14338"/>
    <col width="9.1640625" customWidth="1" style="162" min="14339" max="14340"/>
    <col width="0.83203125" customWidth="1" style="162" min="14341" max="14341"/>
    <col width="7.6640625" customWidth="1" style="162" min="14342" max="14355"/>
    <col width="9.1640625" customWidth="1" style="162" min="14356" max="14589"/>
    <col width="2.6640625" customWidth="1" style="162" min="14590" max="14591"/>
    <col width="12" customWidth="1" style="162" min="14592" max="14594"/>
    <col width="9.1640625" customWidth="1" style="162" min="14595" max="14596"/>
    <col width="0.83203125" customWidth="1" style="162" min="14597" max="14597"/>
    <col width="7.6640625" customWidth="1" style="162" min="14598" max="14611"/>
    <col width="9.1640625" customWidth="1" style="162" min="14612" max="14845"/>
    <col width="2.6640625" customWidth="1" style="162" min="14846" max="14847"/>
    <col width="12" customWidth="1" style="162" min="14848" max="14850"/>
    <col width="9.1640625" customWidth="1" style="162" min="14851" max="14852"/>
    <col width="0.83203125" customWidth="1" style="162" min="14853" max="14853"/>
    <col width="7.6640625" customWidth="1" style="162" min="14854" max="14867"/>
    <col width="9.1640625" customWidth="1" style="162" min="14868" max="15101"/>
    <col width="2.6640625" customWidth="1" style="162" min="15102" max="15103"/>
    <col width="12" customWidth="1" style="162" min="15104" max="15106"/>
    <col width="9.1640625" customWidth="1" style="162" min="15107" max="15108"/>
    <col width="0.83203125" customWidth="1" style="162" min="15109" max="15109"/>
    <col width="7.6640625" customWidth="1" style="162" min="15110" max="15123"/>
    <col width="9.1640625" customWidth="1" style="162" min="15124" max="15357"/>
    <col width="2.6640625" customWidth="1" style="162" min="15358" max="15359"/>
    <col width="12" customWidth="1" style="162" min="15360" max="15362"/>
    <col width="9.1640625" customWidth="1" style="162" min="15363" max="15364"/>
    <col width="0.83203125" customWidth="1" style="162" min="15365" max="15365"/>
    <col width="7.6640625" customWidth="1" style="162" min="15366" max="15379"/>
    <col width="9.1640625" customWidth="1" style="162" min="15380" max="15613"/>
    <col width="2.6640625" customWidth="1" style="162" min="15614" max="15615"/>
    <col width="12" customWidth="1" style="162" min="15616" max="15618"/>
    <col width="9.1640625" customWidth="1" style="162" min="15619" max="15620"/>
    <col width="0.83203125" customWidth="1" style="162" min="15621" max="15621"/>
    <col width="7.6640625" customWidth="1" style="162" min="15622" max="15635"/>
    <col width="9.1640625" customWidth="1" style="162" min="15636" max="15869"/>
    <col width="2.6640625" customWidth="1" style="162" min="15870" max="15871"/>
    <col width="12" customWidth="1" style="162" min="15872" max="15874"/>
    <col width="9.1640625" customWidth="1" style="162" min="15875" max="15876"/>
    <col width="0.83203125" customWidth="1" style="162" min="15877" max="15877"/>
    <col width="7.6640625" customWidth="1" style="162" min="15878" max="15891"/>
    <col width="9.1640625" customWidth="1" style="162" min="15892" max="16125"/>
    <col width="2.6640625" customWidth="1" style="162" min="16126" max="16127"/>
    <col width="12" customWidth="1" style="162" min="16128" max="16130"/>
    <col width="9.1640625" customWidth="1" style="162" min="16131" max="16132"/>
    <col width="0.83203125" customWidth="1" style="162" min="16133" max="16133"/>
    <col width="7.6640625" customWidth="1" style="162" min="16134" max="16147"/>
    <col width="9.1640625" customWidth="1" style="162" min="16148" max="16384"/>
  </cols>
  <sheetData>
    <row r="1" ht="14" customHeight="1" thickBot="1">
      <c r="A1" s="161" t="inlineStr">
        <is>
          <t>DCF output</t>
        </is>
      </c>
      <c r="B1" s="161" t="n"/>
      <c r="C1" s="161" t="n"/>
      <c r="D1" s="161" t="n"/>
      <c r="E1" s="161" t="n"/>
      <c r="F1" s="161" t="n"/>
      <c r="G1" s="161" t="n"/>
      <c r="H1" s="161" t="n"/>
      <c r="I1" s="161" t="n"/>
      <c r="J1" s="161" t="n"/>
      <c r="K1" s="161" t="n"/>
      <c r="L1" s="161" t="n"/>
      <c r="M1" s="161" t="n"/>
      <c r="N1" s="161" t="n"/>
      <c r="O1" s="161" t="n"/>
      <c r="P1" s="161" t="n"/>
      <c r="Q1" s="161" t="n"/>
      <c r="R1" s="161" t="n"/>
      <c r="S1" s="161" t="n"/>
      <c r="T1" s="161" t="n"/>
    </row>
    <row r="2" ht="14" customHeight="1" thickTop="1">
      <c r="A2" s="163" t="n"/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</row>
    <row r="3">
      <c r="A3" s="153" t="n"/>
      <c r="B3" s="164" t="n"/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</row>
    <row r="4" ht="16" customHeight="1">
      <c r="A4" s="164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O4" s="38" t="n"/>
      <c r="P4" s="38" t="n"/>
      <c r="Q4" s="38" t="n"/>
      <c r="R4" s="38" t="n"/>
      <c r="S4" s="38" t="n"/>
      <c r="T4" s="38" t="n"/>
      <c r="U4" s="38" t="n"/>
    </row>
    <row r="5" ht="16" customHeight="1">
      <c r="A5" s="164" t="n"/>
      <c r="B5" s="159" t="n"/>
      <c r="C5" s="165" t="inlineStr">
        <is>
          <t>Summary financials and cashflow</t>
        </is>
      </c>
      <c r="D5" s="165" t="n"/>
      <c r="E5" s="165" t="n"/>
      <c r="F5" s="165" t="n"/>
      <c r="G5" s="165" t="n"/>
      <c r="H5" s="165" t="n"/>
      <c r="I5" s="165" t="n"/>
      <c r="J5" s="160" t="n"/>
      <c r="K5" s="160" t="n"/>
      <c r="L5" s="160" t="n"/>
      <c r="M5" s="160" t="n"/>
      <c r="N5" s="160" t="n"/>
      <c r="O5" s="160" t="n"/>
      <c r="P5" s="160" t="n"/>
      <c r="Q5" s="160" t="n"/>
      <c r="R5" s="160" t="n"/>
      <c r="S5" s="160" t="n"/>
      <c r="T5" s="160" t="n"/>
      <c r="U5" s="38" t="n"/>
    </row>
    <row r="6" ht="12" customHeight="1">
      <c r="A6" s="164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O6" s="159" t="n"/>
      <c r="P6" s="159" t="n"/>
      <c r="Q6" s="159" t="n"/>
      <c r="R6" s="159" t="n"/>
      <c r="S6" s="159" t="n"/>
      <c r="T6" s="159" t="n"/>
      <c r="U6" s="38" t="n"/>
    </row>
    <row r="7" ht="20.25" customHeight="1">
      <c r="A7" s="164" t="n"/>
      <c r="B7" s="159" t="n"/>
      <c r="C7" s="361" t="inlineStr">
        <is>
          <t>DCF Forecast Year</t>
        </is>
      </c>
      <c r="D7" s="167" t="n"/>
      <c r="E7" s="167" t="n"/>
      <c r="F7" s="167" t="n"/>
      <c r="G7" s="167" t="n"/>
      <c r="H7" s="167" t="n"/>
      <c r="I7" s="168" t="n">
        <v>0</v>
      </c>
      <c r="J7" s="168">
        <f>+I7+1</f>
        <v/>
      </c>
      <c r="K7" s="168">
        <f>+J7+1</f>
        <v/>
      </c>
      <c r="L7" s="168">
        <f>+K7+1</f>
        <v/>
      </c>
      <c r="M7" s="168">
        <f>+L7+1</f>
        <v/>
      </c>
      <c r="N7" s="168">
        <f>+M7+1</f>
        <v/>
      </c>
      <c r="O7" s="168">
        <f>+N7+1</f>
        <v/>
      </c>
      <c r="P7" s="168">
        <f>+O7+1</f>
        <v/>
      </c>
      <c r="Q7" s="168">
        <f>+P7+1</f>
        <v/>
      </c>
      <c r="R7" s="168">
        <f>+Q7+1</f>
        <v/>
      </c>
      <c r="S7" s="168">
        <f>+R7+1</f>
        <v/>
      </c>
      <c r="T7" s="168" t="inlineStr">
        <is>
          <t>TV</t>
        </is>
      </c>
      <c r="U7" s="38" t="n"/>
    </row>
    <row r="8" ht="20.25" customHeight="1">
      <c r="A8" s="164" t="n"/>
      <c r="B8" s="159" t="n"/>
      <c r="C8" s="362" t="inlineStr">
        <is>
          <t>Mar YE ($m)</t>
        </is>
      </c>
      <c r="D8" s="170" t="n"/>
      <c r="E8" s="171" t="n"/>
      <c r="F8" s="171" t="n"/>
      <c r="G8" s="171" t="n"/>
      <c r="H8" s="171" t="n"/>
      <c r="I8" s="524">
        <f>+'DCF input'!I22</f>
        <v/>
      </c>
      <c r="J8" s="524">
        <f>+'DCF input'!J22</f>
        <v/>
      </c>
      <c r="K8" s="524">
        <f>+'DCF input'!K22</f>
        <v/>
      </c>
      <c r="L8" s="524">
        <f>+'DCF input'!L22</f>
        <v/>
      </c>
      <c r="M8" s="524">
        <f>+'DCF input'!M22</f>
        <v/>
      </c>
      <c r="N8" s="524">
        <f>+'DCF input'!N22</f>
        <v/>
      </c>
      <c r="O8" s="524">
        <f>+'DCF input'!O22</f>
        <v/>
      </c>
      <c r="P8" s="524">
        <f>+'DCF input'!P22</f>
        <v/>
      </c>
      <c r="Q8" s="524">
        <f>+'DCF input'!Q22</f>
        <v/>
      </c>
      <c r="R8" s="524">
        <f>+'DCF input'!R22</f>
        <v/>
      </c>
      <c r="S8" s="524">
        <f>+'DCF input'!S22</f>
        <v/>
      </c>
      <c r="T8" s="171" t="n"/>
      <c r="U8" s="38" t="n"/>
    </row>
    <row r="9" ht="20.25" customHeight="1">
      <c r="A9" s="164" t="n"/>
      <c r="B9" s="159" t="n"/>
      <c r="C9" s="525" t="inlineStr">
        <is>
          <t>Revenue</t>
        </is>
      </c>
      <c r="D9" s="525" t="n"/>
      <c r="E9" s="173" t="n"/>
      <c r="F9" s="173" t="n"/>
      <c r="G9" s="173" t="n"/>
      <c r="H9" s="173" t="n"/>
      <c r="I9" s="526" t="n">
        <v>1149.23</v>
      </c>
      <c r="J9" s="526" t="n">
        <v>1255.63</v>
      </c>
      <c r="K9" s="526" t="n">
        <v>1353.84</v>
      </c>
      <c r="L9" s="526" t="n">
        <v>1446.98</v>
      </c>
      <c r="M9" s="526" t="n">
        <v>1442.62</v>
      </c>
      <c r="N9" s="526" t="n">
        <v>1529.1772</v>
      </c>
      <c r="O9" s="526" t="n">
        <v>1620.927832</v>
      </c>
      <c r="P9" s="526" t="n">
        <v>1718.18350192</v>
      </c>
      <c r="Q9" s="526" t="n">
        <v>1821.2745120352</v>
      </c>
      <c r="R9" s="526" t="n">
        <v>1930.550982757312</v>
      </c>
      <c r="S9" s="526" t="n">
        <v>2046.384041722751</v>
      </c>
      <c r="T9" s="214" t="n"/>
      <c r="U9" s="38" t="n"/>
    </row>
    <row r="10" ht="20.25" customHeight="1">
      <c r="A10" s="164" t="n"/>
      <c r="B10" s="159" t="n"/>
      <c r="C10" s="527" t="inlineStr">
        <is>
          <t>% growth</t>
        </is>
      </c>
      <c r="D10" s="527" t="n"/>
      <c r="E10" s="175" t="n"/>
      <c r="F10" s="177" t="n"/>
      <c r="G10" s="177" t="n"/>
      <c r="H10" s="177" t="n"/>
      <c r="I10" s="528" t="n"/>
      <c r="J10" s="528">
        <f>J9/I9-1</f>
        <v/>
      </c>
      <c r="K10" s="528">
        <f>K9/J9-1</f>
        <v/>
      </c>
      <c r="L10" s="528">
        <f>L9/K9-1</f>
        <v/>
      </c>
      <c r="M10" s="528">
        <f>M9/L9-1</f>
        <v/>
      </c>
      <c r="N10" s="528">
        <f>N9/M9-1</f>
        <v/>
      </c>
      <c r="O10" s="528">
        <f>O9/N9-1</f>
        <v/>
      </c>
      <c r="P10" s="528">
        <f>P9/O9-1</f>
        <v/>
      </c>
      <c r="Q10" s="528">
        <f>Q9/P9-1</f>
        <v/>
      </c>
      <c r="R10" s="528">
        <f>R9/Q9-1</f>
        <v/>
      </c>
      <c r="S10" s="528">
        <f>S9/R9-1</f>
        <v/>
      </c>
      <c r="T10" s="216" t="n"/>
      <c r="U10" s="38" t="n"/>
    </row>
    <row r="11" ht="20.25" customHeight="1">
      <c r="A11" s="164" t="n"/>
      <c r="B11" s="159" t="n"/>
      <c r="C11" s="525" t="inlineStr">
        <is>
          <t>EBITDA</t>
        </is>
      </c>
      <c r="D11" s="525" t="n"/>
      <c r="E11" s="173" t="n"/>
      <c r="F11" s="173" t="n"/>
      <c r="G11" s="173" t="n"/>
      <c r="H11" s="173" t="n"/>
      <c r="I11" s="526" t="n">
        <v>94.15000000000001</v>
      </c>
      <c r="J11" s="526" t="n">
        <v>92.62</v>
      </c>
      <c r="K11" s="526" t="n">
        <v>111.8</v>
      </c>
      <c r="L11" s="526" t="n">
        <v>124.4</v>
      </c>
      <c r="M11" s="526" t="n">
        <v>127.57</v>
      </c>
      <c r="N11" s="526" t="n">
        <v>133.34425184</v>
      </c>
      <c r="O11" s="526" t="n">
        <v>141.3449069504</v>
      </c>
      <c r="P11" s="526" t="n">
        <v>149.825601367424</v>
      </c>
      <c r="Q11" s="526" t="n">
        <v>158.8151374494695</v>
      </c>
      <c r="R11" s="526" t="n">
        <v>168.3440456964376</v>
      </c>
      <c r="S11" s="526" t="n">
        <v>178.4446884382239</v>
      </c>
      <c r="T11" s="214" t="n"/>
      <c r="U11" s="38" t="n"/>
    </row>
    <row r="12" ht="20.25" customHeight="1">
      <c r="A12" s="164" t="n"/>
      <c r="B12" s="159" t="n"/>
      <c r="C12" s="527" t="inlineStr">
        <is>
          <t>% margin</t>
        </is>
      </c>
      <c r="D12" s="527" t="n"/>
      <c r="E12" s="177" t="n"/>
      <c r="F12" s="177" t="n"/>
      <c r="G12" s="177" t="n"/>
      <c r="H12" s="177" t="n"/>
      <c r="I12" s="528">
        <f>I11/I9</f>
        <v/>
      </c>
      <c r="J12" s="528">
        <f>J11/J9</f>
        <v/>
      </c>
      <c r="K12" s="528">
        <f>K11/K9</f>
        <v/>
      </c>
      <c r="L12" s="528">
        <f>L11/L9</f>
        <v/>
      </c>
      <c r="M12" s="528">
        <f>M11/M9</f>
        <v/>
      </c>
      <c r="N12" s="528">
        <f>N11/N9</f>
        <v/>
      </c>
      <c r="O12" s="528">
        <f>O11/O9</f>
        <v/>
      </c>
      <c r="P12" s="528">
        <f>P11/P9</f>
        <v/>
      </c>
      <c r="Q12" s="528">
        <f>Q11/Q9</f>
        <v/>
      </c>
      <c r="R12" s="528">
        <f>R11/R9</f>
        <v/>
      </c>
      <c r="S12" s="528">
        <f>S11/S9</f>
        <v/>
      </c>
      <c r="T12" s="216" t="n"/>
      <c r="U12" s="38" t="n"/>
    </row>
    <row r="13" ht="20.25" customHeight="1">
      <c r="A13" s="164" t="n"/>
      <c r="B13" s="159" t="n"/>
      <c r="C13" s="527" t="inlineStr">
        <is>
          <t>% growth</t>
        </is>
      </c>
      <c r="D13" s="527" t="n"/>
      <c r="E13" s="175" t="n"/>
      <c r="F13" s="177" t="n"/>
      <c r="G13" s="177" t="n"/>
      <c r="H13" s="177" t="n"/>
      <c r="I13" s="528" t="n"/>
      <c r="J13" s="528">
        <f>J11/I11-1</f>
        <v/>
      </c>
      <c r="K13" s="528">
        <f>K11/J11-1</f>
        <v/>
      </c>
      <c r="L13" s="528">
        <f>L11/K11-1</f>
        <v/>
      </c>
      <c r="M13" s="528">
        <f>M11/L11-1</f>
        <v/>
      </c>
      <c r="N13" s="528">
        <f>N11/M11-1</f>
        <v/>
      </c>
      <c r="O13" s="528">
        <f>O11/N11-1</f>
        <v/>
      </c>
      <c r="P13" s="528">
        <f>P11/O11-1</f>
        <v/>
      </c>
      <c r="Q13" s="528">
        <f>Q11/P11-1</f>
        <v/>
      </c>
      <c r="R13" s="528">
        <f>R11/Q11-1</f>
        <v/>
      </c>
      <c r="S13" s="528">
        <f>S11/R11-1</f>
        <v/>
      </c>
      <c r="T13" s="216" t="n"/>
      <c r="U13" s="38" t="n"/>
    </row>
    <row r="14" ht="20.25" customHeight="1">
      <c r="A14" s="164" t="n"/>
      <c r="B14" s="159" t="n"/>
      <c r="C14" s="529" t="inlineStr">
        <is>
          <t>D&amp;A</t>
        </is>
      </c>
      <c r="D14" s="529" t="n"/>
      <c r="E14" s="179" t="n"/>
      <c r="F14" s="179" t="n"/>
      <c r="G14" s="179" t="n"/>
      <c r="H14" s="179" t="n"/>
      <c r="I14" s="530" t="n">
        <v>-36.13</v>
      </c>
      <c r="J14" s="530" t="n">
        <v>-40.46</v>
      </c>
      <c r="K14" s="530" t="n">
        <v>-47.2</v>
      </c>
      <c r="L14" s="530" t="n">
        <v>-51.83</v>
      </c>
      <c r="M14" s="530" t="n">
        <v>-54.8</v>
      </c>
      <c r="N14" s="530" t="n">
        <v>-58.10873359999999</v>
      </c>
      <c r="O14" s="530" t="n">
        <v>-61.59525761599999</v>
      </c>
      <c r="P14" s="530" t="n">
        <v>-65.29097307296</v>
      </c>
      <c r="Q14" s="530" t="n">
        <v>-69.2084314573376</v>
      </c>
      <c r="R14" s="530" t="n">
        <v>-73.36093734477787</v>
      </c>
      <c r="S14" s="530" t="n">
        <v>-77.76259358546454</v>
      </c>
      <c r="T14" s="218" t="n"/>
      <c r="U14" s="38" t="n"/>
    </row>
    <row r="15" ht="20.25" customHeight="1">
      <c r="A15" s="164" t="n"/>
      <c r="B15" s="159" t="n"/>
      <c r="C15" s="527" t="inlineStr">
        <is>
          <t>% of revenue</t>
        </is>
      </c>
      <c r="D15" s="527" t="n"/>
      <c r="E15" s="177" t="n"/>
      <c r="F15" s="177" t="n"/>
      <c r="G15" s="177" t="n"/>
      <c r="H15" s="177" t="n"/>
      <c r="I15" s="528">
        <f>-I14/I$9</f>
        <v/>
      </c>
      <c r="J15" s="528">
        <f>-J14/J$9</f>
        <v/>
      </c>
      <c r="K15" s="528">
        <f>-K14/K$9</f>
        <v/>
      </c>
      <c r="L15" s="528">
        <f>-L14/L$9</f>
        <v/>
      </c>
      <c r="M15" s="528">
        <f>-M14/M$9</f>
        <v/>
      </c>
      <c r="N15" s="528">
        <f>-N14/N$9</f>
        <v/>
      </c>
      <c r="O15" s="528">
        <f>-O14/O$9</f>
        <v/>
      </c>
      <c r="P15" s="528">
        <f>-P14/P$9</f>
        <v/>
      </c>
      <c r="Q15" s="528">
        <f>-Q14/Q$9</f>
        <v/>
      </c>
      <c r="R15" s="528">
        <f>-R14/R$9</f>
        <v/>
      </c>
      <c r="S15" s="528">
        <f>-S14/S$9</f>
        <v/>
      </c>
      <c r="T15" s="216" t="n"/>
      <c r="U15" s="38" t="n"/>
    </row>
    <row r="16" ht="20.25" customHeight="1">
      <c r="A16" s="164" t="n"/>
      <c r="B16" s="159" t="n"/>
      <c r="C16" s="527" t="inlineStr">
        <is>
          <t>% of capex</t>
        </is>
      </c>
      <c r="D16" s="527" t="n"/>
      <c r="E16" s="177" t="n"/>
      <c r="F16" s="177" t="n"/>
      <c r="G16" s="177" t="n"/>
      <c r="H16" s="177" t="n"/>
      <c r="I16" s="528" t="n"/>
      <c r="J16" s="528">
        <f>+J14/J21</f>
        <v/>
      </c>
      <c r="K16" s="528">
        <f>+K14/K21</f>
        <v/>
      </c>
      <c r="L16" s="528">
        <f>+L14/L21</f>
        <v/>
      </c>
      <c r="M16" s="528">
        <f>+M14/M21</f>
        <v/>
      </c>
      <c r="N16" s="528">
        <f>+N14/N21</f>
        <v/>
      </c>
      <c r="O16" s="528">
        <f>+O14/O21</f>
        <v/>
      </c>
      <c r="P16" s="528">
        <f>+P14/P21</f>
        <v/>
      </c>
      <c r="Q16" s="528">
        <f>+Q14/Q21</f>
        <v/>
      </c>
      <c r="R16" s="528">
        <f>+R14/R21</f>
        <v/>
      </c>
      <c r="S16" s="528">
        <f>+S14/S21</f>
        <v/>
      </c>
      <c r="T16" s="216" t="n"/>
      <c r="U16" s="38" t="n"/>
    </row>
    <row r="17" ht="20.25" customHeight="1">
      <c r="A17" s="164" t="n"/>
      <c r="B17" s="159" t="n"/>
      <c r="C17" s="529" t="inlineStr">
        <is>
          <t>EBIT</t>
        </is>
      </c>
      <c r="D17" s="529" t="n"/>
      <c r="E17" s="179" t="n"/>
      <c r="F17" s="179" t="n"/>
      <c r="G17" s="179" t="n"/>
      <c r="H17" s="179" t="n"/>
      <c r="I17" s="530" t="n">
        <v>58.02</v>
      </c>
      <c r="J17" s="530" t="n">
        <v>52.16</v>
      </c>
      <c r="K17" s="530" t="n">
        <v>64.59999999999999</v>
      </c>
      <c r="L17" s="530" t="n">
        <v>72.57000000000001</v>
      </c>
      <c r="M17" s="530" t="n">
        <v>72.77</v>
      </c>
      <c r="N17" s="530" t="n">
        <v>75.23551824</v>
      </c>
      <c r="O17" s="530" t="n">
        <v>79.74964933439998</v>
      </c>
      <c r="P17" s="530" t="n">
        <v>84.53462829446401</v>
      </c>
      <c r="Q17" s="530" t="n">
        <v>89.60670599213186</v>
      </c>
      <c r="R17" s="530" t="n">
        <v>94.98310835165977</v>
      </c>
      <c r="S17" s="530" t="n">
        <v>100.6820948527593</v>
      </c>
      <c r="T17" s="218" t="n"/>
      <c r="U17" s="38" t="n"/>
    </row>
    <row r="18" ht="20.25" customHeight="1">
      <c r="A18" s="164" t="n"/>
      <c r="B18" s="159" t="n"/>
      <c r="C18" s="527" t="inlineStr">
        <is>
          <t>% margin</t>
        </is>
      </c>
      <c r="D18" s="527" t="n"/>
      <c r="E18" s="177" t="n"/>
      <c r="F18" s="177" t="n"/>
      <c r="G18" s="177" t="n"/>
      <c r="H18" s="177" t="n"/>
      <c r="I18" s="528">
        <f>I17/I$9</f>
        <v/>
      </c>
      <c r="J18" s="528">
        <f>J17/J$9</f>
        <v/>
      </c>
      <c r="K18" s="528">
        <f>K17/K$9</f>
        <v/>
      </c>
      <c r="L18" s="528">
        <f>L17/L$9</f>
        <v/>
      </c>
      <c r="M18" s="528">
        <f>M17/M$9</f>
        <v/>
      </c>
      <c r="N18" s="528">
        <f>N17/N$9</f>
        <v/>
      </c>
      <c r="O18" s="528">
        <f>O17/O$9</f>
        <v/>
      </c>
      <c r="P18" s="528">
        <f>P17/P$9</f>
        <v/>
      </c>
      <c r="Q18" s="528">
        <f>Q17/Q$9</f>
        <v/>
      </c>
      <c r="R18" s="528">
        <f>R17/R$9</f>
        <v/>
      </c>
      <c r="S18" s="528">
        <f>S17/S$9</f>
        <v/>
      </c>
      <c r="T18" s="216" t="n"/>
      <c r="U18" s="38" t="n"/>
    </row>
    <row r="19" ht="20.25" customHeight="1">
      <c r="A19" s="164" t="n"/>
      <c r="B19" s="159" t="n"/>
      <c r="C19" s="529" t="inlineStr">
        <is>
          <t>Tax on EBIT</t>
        </is>
      </c>
      <c r="D19" s="529" t="n"/>
      <c r="E19" s="179" t="n"/>
      <c r="F19" s="179" t="n"/>
      <c r="G19" s="179" t="n"/>
      <c r="H19" s="179" t="n"/>
      <c r="I19" s="530" t="n"/>
      <c r="J19" s="530">
        <f>-J20*J17</f>
        <v/>
      </c>
      <c r="K19" s="530">
        <f>-K20*K17</f>
        <v/>
      </c>
      <c r="L19" s="530">
        <f>-L20*L17</f>
        <v/>
      </c>
      <c r="M19" s="530">
        <f>-M20*M17</f>
        <v/>
      </c>
      <c r="N19" s="530" t="n">
        <v>-14.2947484656</v>
      </c>
      <c r="O19" s="530" t="n">
        <v>-15.152433373536</v>
      </c>
      <c r="P19" s="530" t="n">
        <v>-16.06157937594816</v>
      </c>
      <c r="Q19" s="530" t="n">
        <v>-17.02527413850505</v>
      </c>
      <c r="R19" s="530" t="n">
        <v>-18.04679058681536</v>
      </c>
      <c r="S19" s="530" t="n">
        <v>-19.12959802202428</v>
      </c>
      <c r="T19" s="218" t="n"/>
      <c r="U19" s="38" t="n"/>
    </row>
    <row r="20" ht="20.25" customHeight="1">
      <c r="A20" s="164" t="n"/>
      <c r="B20" s="159" t="n"/>
      <c r="C20" s="527" t="inlineStr">
        <is>
          <t>% tax rate</t>
        </is>
      </c>
      <c r="D20" s="527" t="n"/>
      <c r="E20" s="177" t="n"/>
      <c r="F20" s="177" t="n"/>
      <c r="G20" s="177" t="n"/>
      <c r="H20" s="177" t="n"/>
      <c r="I20" s="528" t="n"/>
      <c r="J20" s="528">
        <f>'DCF input'!J40</f>
        <v/>
      </c>
      <c r="K20" s="528">
        <f>'DCF input'!K40</f>
        <v/>
      </c>
      <c r="L20" s="528">
        <f>'DCF input'!L40</f>
        <v/>
      </c>
      <c r="M20" s="528">
        <f>'DCF input'!M40</f>
        <v/>
      </c>
      <c r="N20" s="528" t="n">
        <v>0.19</v>
      </c>
      <c r="O20" s="528" t="n">
        <v>0.19</v>
      </c>
      <c r="P20" s="528" t="n">
        <v>0.19</v>
      </c>
      <c r="Q20" s="528" t="n">
        <v>0.19</v>
      </c>
      <c r="R20" s="528" t="n">
        <v>0.19</v>
      </c>
      <c r="S20" s="528" t="n">
        <v>0.19</v>
      </c>
      <c r="T20" s="216" t="n"/>
      <c r="U20" s="38" t="n"/>
    </row>
    <row r="21" ht="20.25" customHeight="1">
      <c r="A21" s="164" t="n"/>
      <c r="B21" s="159" t="n"/>
      <c r="C21" s="529" t="inlineStr">
        <is>
          <t>Capex</t>
        </is>
      </c>
      <c r="D21" s="529" t="n"/>
      <c r="E21" s="179" t="n"/>
      <c r="F21" s="179" t="n"/>
      <c r="G21" s="179" t="n"/>
      <c r="H21" s="179" t="n"/>
      <c r="I21" s="530" t="n">
        <v>-36</v>
      </c>
      <c r="J21" s="530" t="n">
        <v>-51</v>
      </c>
      <c r="K21" s="530" t="n">
        <v>-50</v>
      </c>
      <c r="L21" s="530" t="n">
        <v>-50</v>
      </c>
      <c r="M21" s="530" t="n">
        <v>-50</v>
      </c>
      <c r="N21" s="530" t="n">
        <v>-45.87531599999999</v>
      </c>
      <c r="O21" s="530" t="n">
        <v>-48.62783495999999</v>
      </c>
      <c r="P21" s="530" t="n">
        <v>-51.5455050576</v>
      </c>
      <c r="Q21" s="530" t="n">
        <v>-54.638235361056</v>
      </c>
      <c r="R21" s="530" t="n">
        <v>-57.91652948271937</v>
      </c>
      <c r="S21" s="530" t="n">
        <v>-61.39152125168253</v>
      </c>
      <c r="T21" s="218" t="n"/>
      <c r="U21" s="38" t="n"/>
    </row>
    <row r="22" ht="20.25" customHeight="1">
      <c r="A22" s="164" t="n"/>
      <c r="B22" s="159" t="n"/>
      <c r="C22" s="527" t="inlineStr">
        <is>
          <t>% of revenue</t>
        </is>
      </c>
      <c r="D22" s="527" t="n"/>
      <c r="E22" s="177" t="n"/>
      <c r="F22" s="177" t="n"/>
      <c r="G22" s="177" t="n"/>
      <c r="H22" s="177" t="n"/>
      <c r="I22" s="528" t="n"/>
      <c r="J22" s="528">
        <f>-J21/J$9</f>
        <v/>
      </c>
      <c r="K22" s="528">
        <f>-K21/K$9</f>
        <v/>
      </c>
      <c r="L22" s="528">
        <f>-L21/L$9</f>
        <v/>
      </c>
      <c r="M22" s="528">
        <f>-M21/M$9</f>
        <v/>
      </c>
      <c r="N22" s="528">
        <f>-N21/N$9</f>
        <v/>
      </c>
      <c r="O22" s="528">
        <f>-O21/O$9</f>
        <v/>
      </c>
      <c r="P22" s="528">
        <f>-P21/P$9</f>
        <v/>
      </c>
      <c r="Q22" s="528">
        <f>-Q21/Q$9</f>
        <v/>
      </c>
      <c r="R22" s="528">
        <f>-R21/R$9</f>
        <v/>
      </c>
      <c r="S22" s="528">
        <f>-S21/S$9</f>
        <v/>
      </c>
      <c r="T22" s="216" t="n"/>
      <c r="U22" s="38" t="n"/>
    </row>
    <row r="23" ht="20.25" customHeight="1">
      <c r="A23" s="164" t="n"/>
      <c r="B23" s="159" t="n"/>
      <c r="C23" s="529" t="inlineStr">
        <is>
          <t>Change in NWC</t>
        </is>
      </c>
      <c r="D23" s="529" t="n"/>
      <c r="E23" s="179" t="n"/>
      <c r="F23" s="179" t="n"/>
      <c r="G23" s="179" t="n"/>
      <c r="H23" s="179" t="n"/>
      <c r="I23" s="530" t="n"/>
      <c r="J23" s="530">
        <f>'DCF input'!J52</f>
        <v/>
      </c>
      <c r="K23" s="530">
        <f>'DCF input'!K52</f>
        <v/>
      </c>
      <c r="L23" s="530">
        <f>'DCF input'!L52</f>
        <v/>
      </c>
      <c r="M23" s="530">
        <f>'DCF input'!M52</f>
        <v/>
      </c>
      <c r="N23" s="530" t="n">
        <v>-22.937658</v>
      </c>
      <c r="O23" s="530" t="n">
        <v>-24.31391748</v>
      </c>
      <c r="P23" s="530" t="n">
        <v>-25.7727525288</v>
      </c>
      <c r="Q23" s="530" t="n">
        <v>-27.319117680528</v>
      </c>
      <c r="R23" s="530" t="n">
        <v>-28.95826474135968</v>
      </c>
      <c r="S23" s="530" t="n">
        <v>-30.69576062584127</v>
      </c>
      <c r="T23" s="218" t="n"/>
      <c r="U23" s="38" t="n"/>
    </row>
    <row r="24" ht="20.25" customHeight="1">
      <c r="A24" s="164" t="n"/>
      <c r="B24" s="159" t="n"/>
      <c r="C24" s="529" t="inlineStr">
        <is>
          <t>Other Cashflows</t>
        </is>
      </c>
      <c r="D24" s="529" t="n"/>
      <c r="E24" s="179" t="n"/>
      <c r="F24" s="179" t="n"/>
      <c r="G24" s="179" t="n"/>
      <c r="H24" s="179" t="n"/>
      <c r="I24" s="530" t="n"/>
      <c r="J24" s="530">
        <f>'DCF input'!J55</f>
        <v/>
      </c>
      <c r="K24" s="530">
        <f>'DCF input'!K55</f>
        <v/>
      </c>
      <c r="L24" s="530">
        <f>'DCF input'!L55</f>
        <v/>
      </c>
      <c r="M24" s="530">
        <f>'DCF input'!M55</f>
        <v/>
      </c>
      <c r="N24" s="530" t="n">
        <v>0</v>
      </c>
      <c r="O24" s="530" t="n">
        <v>0</v>
      </c>
      <c r="P24" s="530" t="n">
        <v>0</v>
      </c>
      <c r="Q24" s="530" t="n">
        <v>0</v>
      </c>
      <c r="R24" s="530" t="n">
        <v>0</v>
      </c>
      <c r="S24" s="530" t="n">
        <v>0</v>
      </c>
      <c r="T24" s="218" t="n"/>
      <c r="U24" s="38" t="n"/>
    </row>
    <row r="25" ht="20.25" customHeight="1">
      <c r="A25" s="164" t="n"/>
      <c r="B25" s="159" t="n"/>
      <c r="C25" s="527" t="inlineStr">
        <is>
          <t>% of revenue</t>
        </is>
      </c>
      <c r="D25" s="529" t="n"/>
      <c r="E25" s="179" t="n"/>
      <c r="F25" s="179" t="n"/>
      <c r="G25" s="179" t="n"/>
      <c r="H25" s="179" t="n"/>
      <c r="I25" s="530" t="n"/>
      <c r="J25" s="528">
        <f>-J24/J$9</f>
        <v/>
      </c>
      <c r="K25" s="528">
        <f>-K24/K$9</f>
        <v/>
      </c>
      <c r="L25" s="528">
        <f>-L24/L$9</f>
        <v/>
      </c>
      <c r="M25" s="528">
        <f>-M24/M$9</f>
        <v/>
      </c>
      <c r="N25" s="528">
        <f>-N24/N$9</f>
        <v/>
      </c>
      <c r="O25" s="528">
        <f>-O24/O$9</f>
        <v/>
      </c>
      <c r="P25" s="528">
        <f>-P24/P$9</f>
        <v/>
      </c>
      <c r="Q25" s="528">
        <f>-Q24/Q$9</f>
        <v/>
      </c>
      <c r="R25" s="528">
        <f>-R24/R$9</f>
        <v/>
      </c>
      <c r="S25" s="528">
        <f>-S24/S$9</f>
        <v/>
      </c>
      <c r="T25" s="218" t="n"/>
      <c r="U25" s="38" t="n"/>
    </row>
    <row r="26" ht="20.25" customHeight="1">
      <c r="A26" s="164" t="n"/>
      <c r="B26" s="159" t="n"/>
      <c r="C26" s="529" t="inlineStr">
        <is>
          <t>Exceptional items</t>
        </is>
      </c>
      <c r="D26" s="529" t="n"/>
      <c r="E26" s="179" t="n"/>
      <c r="F26" s="179" t="n"/>
      <c r="G26" s="179" t="n"/>
      <c r="H26" s="179" t="n"/>
      <c r="I26" s="530" t="n"/>
      <c r="J26" s="530">
        <f>'DCF input'!J58</f>
        <v/>
      </c>
      <c r="K26" s="530">
        <f>'DCF input'!K58</f>
        <v/>
      </c>
      <c r="L26" s="530">
        <f>'DCF input'!L58</f>
        <v/>
      </c>
      <c r="M26" s="530">
        <f>'DCF input'!M58</f>
        <v/>
      </c>
      <c r="N26" s="530" t="n">
        <v>0</v>
      </c>
      <c r="O26" s="530" t="n">
        <v>0</v>
      </c>
      <c r="P26" s="530" t="n">
        <v>0</v>
      </c>
      <c r="Q26" s="530" t="n">
        <v>0</v>
      </c>
      <c r="R26" s="530" t="n">
        <v>0</v>
      </c>
      <c r="S26" s="530" t="n">
        <v>0</v>
      </c>
      <c r="T26" s="218" t="n"/>
      <c r="U26" s="38" t="n"/>
    </row>
    <row r="27" ht="20.25" customHeight="1">
      <c r="A27" s="164" t="n"/>
      <c r="B27" s="159" t="n"/>
      <c r="C27" s="527" t="inlineStr">
        <is>
          <t>% of revenue</t>
        </is>
      </c>
      <c r="D27" s="529" t="n"/>
      <c r="E27" s="179" t="n"/>
      <c r="F27" s="179" t="n"/>
      <c r="G27" s="179" t="n"/>
      <c r="H27" s="179" t="n"/>
      <c r="I27" s="530" t="n"/>
      <c r="J27" s="528">
        <f>-J26/J$9</f>
        <v/>
      </c>
      <c r="K27" s="528">
        <f>-K26/K$9</f>
        <v/>
      </c>
      <c r="L27" s="528">
        <f>-L26/L$9</f>
        <v/>
      </c>
      <c r="M27" s="528">
        <f>-M26/M$9</f>
        <v/>
      </c>
      <c r="N27" s="528">
        <f>-N26/N$9</f>
        <v/>
      </c>
      <c r="O27" s="528">
        <f>-O26/O$9</f>
        <v/>
      </c>
      <c r="P27" s="528">
        <f>-P26/P$9</f>
        <v/>
      </c>
      <c r="Q27" s="528">
        <f>-Q26/Q$9</f>
        <v/>
      </c>
      <c r="R27" s="528">
        <f>-R26/R$9</f>
        <v/>
      </c>
      <c r="S27" s="528">
        <f>-S26/S$9</f>
        <v/>
      </c>
      <c r="T27" s="218" t="n"/>
      <c r="U27" s="38" t="n"/>
    </row>
    <row r="28" ht="20.25" customHeight="1">
      <c r="A28" s="164" t="n"/>
      <c r="B28" s="159" t="n"/>
      <c r="C28" s="525" t="inlineStr">
        <is>
          <t>Unlevered free cash flow</t>
        </is>
      </c>
      <c r="D28" s="525" t="n"/>
      <c r="E28" s="173" t="n"/>
      <c r="F28" s="173" t="n"/>
      <c r="G28" s="173" t="n"/>
      <c r="H28" s="173" t="n"/>
      <c r="I28" s="526" t="n"/>
      <c r="J28" s="526">
        <f>J17+J19-J14+J21+J23+J24+J26</f>
        <v/>
      </c>
      <c r="K28" s="526">
        <f>K17+K19-K14+K21+K23+K24+K26</f>
        <v/>
      </c>
      <c r="L28" s="526">
        <f>L17+L19-L14+L21+L23+L24+L26</f>
        <v/>
      </c>
      <c r="M28" s="526">
        <f>M17+M19-M14+M21+M23+M24+M26</f>
        <v/>
      </c>
      <c r="N28" s="526" t="n">
        <v>50.23652937439999</v>
      </c>
      <c r="O28" s="526" t="n">
        <v>53.25072113686396</v>
      </c>
      <c r="P28" s="526" t="n">
        <v>56.44576440507583</v>
      </c>
      <c r="Q28" s="526" t="n">
        <v>59.83251026938039</v>
      </c>
      <c r="R28" s="526" t="n">
        <v>63.4224608855432</v>
      </c>
      <c r="S28" s="526" t="n">
        <v>67.22780853867582</v>
      </c>
      <c r="T28" s="526" t="n">
        <v>912.9387198980573</v>
      </c>
      <c r="U28" s="38" t="n"/>
    </row>
    <row r="29" ht="20.25" customHeight="1">
      <c r="A29" s="164" t="n"/>
      <c r="B29" s="159" t="n"/>
      <c r="C29" s="159" t="inlineStr">
        <is>
          <t>Cashflow Timing (Years to Discount)</t>
        </is>
      </c>
      <c r="D29" s="529" t="n"/>
      <c r="E29" s="179" t="n"/>
      <c r="F29" s="179" t="n"/>
      <c r="G29" s="179" t="n"/>
      <c r="H29" s="179" t="n"/>
      <c r="I29" s="530" t="n"/>
      <c r="J29" s="530">
        <f>J7</f>
        <v/>
      </c>
      <c r="K29" s="530">
        <f>K7</f>
        <v/>
      </c>
      <c r="L29" s="530">
        <f>L7</f>
        <v/>
      </c>
      <c r="M29" s="530">
        <f>M7</f>
        <v/>
      </c>
      <c r="N29" s="530">
        <f>N7</f>
        <v/>
      </c>
      <c r="O29" s="530">
        <f>O7</f>
        <v/>
      </c>
      <c r="P29" s="530">
        <f>P7</f>
        <v/>
      </c>
      <c r="Q29" s="530">
        <f>Q7</f>
        <v/>
      </c>
      <c r="R29" s="530">
        <f>R7</f>
        <v/>
      </c>
      <c r="S29" s="530">
        <f>S7</f>
        <v/>
      </c>
      <c r="T29" s="530" t="n"/>
      <c r="U29" s="38" t="n"/>
    </row>
    <row r="30" ht="20.25" customHeight="1">
      <c r="A30" s="164" t="n"/>
      <c r="B30" s="159" t="n"/>
      <c r="C30" s="159" t="inlineStr">
        <is>
          <t>Discount Factor</t>
        </is>
      </c>
      <c r="D30" s="529" t="n"/>
      <c r="E30" s="179" t="n"/>
      <c r="F30" s="179" t="n"/>
      <c r="G30" s="179" t="n"/>
      <c r="H30" s="179" t="n"/>
      <c r="I30" s="531" t="n"/>
      <c r="J30" s="532">
        <f>'DCF input'!J67</f>
        <v/>
      </c>
      <c r="K30" s="532">
        <f>'DCF input'!K67</f>
        <v/>
      </c>
      <c r="L30" s="532">
        <f>'DCF input'!L67</f>
        <v/>
      </c>
      <c r="M30" s="532">
        <f>'DCF input'!M67</f>
        <v/>
      </c>
      <c r="N30" s="532">
        <f>'DCF input'!N67</f>
        <v/>
      </c>
      <c r="O30" s="532">
        <f>'DCF input'!O67</f>
        <v/>
      </c>
      <c r="P30" s="532">
        <f>'DCF input'!P67</f>
        <v/>
      </c>
      <c r="Q30" s="532">
        <f>'DCF input'!Q67</f>
        <v/>
      </c>
      <c r="R30" s="532">
        <f>'DCF input'!R67</f>
        <v/>
      </c>
      <c r="S30" s="532">
        <f>'DCF input'!S67</f>
        <v/>
      </c>
      <c r="T30" s="530" t="n"/>
      <c r="U30" s="38" t="n"/>
    </row>
    <row r="31" ht="20.25" customHeight="1">
      <c r="A31" s="164" t="n"/>
      <c r="B31" s="159" t="n"/>
      <c r="C31" s="533" t="inlineStr">
        <is>
          <t>Discounted DCF cashflows</t>
        </is>
      </c>
      <c r="D31" s="533" t="n"/>
      <c r="E31" s="181" t="n"/>
      <c r="F31" s="181" t="n"/>
      <c r="G31" s="181" t="n"/>
      <c r="H31" s="181" t="n"/>
      <c r="I31" s="534" t="n"/>
      <c r="J31" s="534">
        <f>J30*J28</f>
        <v/>
      </c>
      <c r="K31" s="534">
        <f>K30*K28</f>
        <v/>
      </c>
      <c r="L31" s="534">
        <f>L30*L28</f>
        <v/>
      </c>
      <c r="M31" s="534">
        <f>M30*M28</f>
        <v/>
      </c>
      <c r="N31" s="534">
        <f>N30*N28</f>
        <v/>
      </c>
      <c r="O31" s="534">
        <f>O30*O28</f>
        <v/>
      </c>
      <c r="P31" s="534">
        <f>P30*P28</f>
        <v/>
      </c>
      <c r="Q31" s="534">
        <f>Q30*Q28</f>
        <v/>
      </c>
      <c r="R31" s="534">
        <f>R30*R28</f>
        <v/>
      </c>
      <c r="S31" s="534">
        <f>S30*S28</f>
        <v/>
      </c>
      <c r="T31" s="534">
        <f>T28*S30</f>
        <v/>
      </c>
      <c r="U31" s="38" t="n"/>
    </row>
    <row r="32" ht="20.25" customHeight="1">
      <c r="A32" s="164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38" t="n"/>
      <c r="O32" s="159" t="n"/>
      <c r="P32" s="159" t="n"/>
      <c r="Q32" s="159" t="n"/>
      <c r="R32" s="159" t="n"/>
      <c r="S32" s="38" t="n"/>
      <c r="T32" s="38" t="n"/>
      <c r="U32" s="38" t="n"/>
    </row>
    <row r="33" ht="20.25" customHeight="1">
      <c r="A33" s="164" t="n"/>
      <c r="B33" s="159" t="n"/>
      <c r="C33" s="196" t="inlineStr">
        <is>
          <t>Net Present Value based on Perpetuity Growth Method</t>
        </is>
      </c>
      <c r="D33" s="197" t="n"/>
      <c r="E33" s="197" t="n"/>
      <c r="F33" s="197" t="n"/>
      <c r="G33" s="197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5" t="n"/>
      <c r="U33" s="38" t="n"/>
    </row>
    <row r="34" ht="20.25" customHeight="1">
      <c r="A34" s="164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  <c r="O34" s="38" t="n"/>
      <c r="P34" s="38" t="n"/>
      <c r="Q34" s="38" t="n"/>
      <c r="R34" s="38" t="n"/>
      <c r="S34" s="38" t="n"/>
      <c r="T34" s="38" t="n"/>
      <c r="U34" s="38" t="n"/>
    </row>
    <row r="35" ht="20.25" customHeight="1">
      <c r="A35" s="164" t="n"/>
      <c r="B35" s="159" t="n"/>
      <c r="C35" s="362">
        <f>"Value Based on "&amp;TEXT(K40,"#0.0%")&amp;" WACC &amp; "&amp;TEXT(N37,"#0.0%")&amp;" TGR"</f>
        <v/>
      </c>
      <c r="F35" s="182" t="inlineStr">
        <is>
          <t>Amount</t>
        </is>
      </c>
      <c r="G35" s="182" t="inlineStr">
        <is>
          <t xml:space="preserve">% of </t>
        </is>
      </c>
      <c r="H35" s="159" t="n"/>
      <c r="I35" s="38" t="n"/>
      <c r="J35" s="191" t="inlineStr">
        <is>
          <t>Sensitising firm value ($m) and implied offer price to WACC and TGR</t>
        </is>
      </c>
      <c r="K35" s="192" t="n"/>
      <c r="L35" s="193" t="n"/>
      <c r="M35" s="194" t="n"/>
      <c r="N35" s="194" t="n"/>
      <c r="O35" s="194" t="n"/>
      <c r="P35" s="194" t="n"/>
      <c r="Q35" s="183" t="n"/>
      <c r="R35" s="183" t="n"/>
      <c r="S35" s="183" t="n"/>
      <c r="T35" s="38" t="n"/>
      <c r="U35" s="38" t="n"/>
    </row>
    <row r="36" ht="20.25" customHeight="1">
      <c r="A36" s="164" t="n"/>
      <c r="B36" s="159" t="n"/>
      <c r="C36" s="535" t="n"/>
      <c r="D36" s="535" t="n"/>
      <c r="E36" s="535" t="n"/>
      <c r="F36" s="291" t="inlineStr">
        <is>
          <t>($m)</t>
        </is>
      </c>
      <c r="G36" s="171" t="inlineStr">
        <is>
          <t>NPV</t>
        </is>
      </c>
      <c r="H36" s="159" t="n"/>
      <c r="I36" s="38" t="n"/>
      <c r="J36" s="167" t="n"/>
      <c r="K36" s="182" t="n"/>
      <c r="L36" s="365" t="inlineStr">
        <is>
          <t>Perpetuity Growth Rate (%)</t>
        </is>
      </c>
      <c r="Q36" s="184" t="n"/>
      <c r="R36" s="184" t="n"/>
      <c r="S36" s="184" t="n"/>
      <c r="T36" s="38" t="n"/>
      <c r="U36" s="38" t="n"/>
    </row>
    <row r="37" ht="20.25" customHeight="1">
      <c r="A37" s="164" t="n"/>
      <c r="B37" s="159" t="n"/>
      <c r="C37" s="231" t="inlineStr">
        <is>
          <t>Present Value of Cashflows</t>
        </is>
      </c>
      <c r="D37" s="185" t="n"/>
      <c r="E37" s="185" t="n"/>
      <c r="F37" s="536" t="n">
        <v>262.1672323519508</v>
      </c>
      <c r="G37" s="537">
        <f>F37/F$39</f>
        <v/>
      </c>
      <c r="H37" s="159" t="n"/>
      <c r="I37" s="38" t="n"/>
      <c r="J37" s="364" t="inlineStr">
        <is>
          <t>WACC (%)</t>
        </is>
      </c>
      <c r="K37" s="234" t="n"/>
      <c r="L37" s="538">
        <f>'DCF input'!F103</f>
        <v/>
      </c>
      <c r="M37" s="538">
        <f>'DCF input'!G103</f>
        <v/>
      </c>
      <c r="N37" s="538">
        <f>'DCF input'!H103</f>
        <v/>
      </c>
      <c r="O37" s="538">
        <f>'DCF input'!I103</f>
        <v/>
      </c>
      <c r="P37" s="538">
        <f>'DCF input'!J103</f>
        <v/>
      </c>
      <c r="Q37" s="539" t="n"/>
      <c r="R37" s="539" t="n"/>
      <c r="S37" s="539" t="n"/>
      <c r="T37" s="38" t="n"/>
      <c r="U37" s="38" t="n"/>
    </row>
    <row r="38" ht="20.25" customHeight="1">
      <c r="A38" s="164" t="n"/>
      <c r="B38" s="159" t="n"/>
      <c r="C38" s="231" t="inlineStr">
        <is>
          <t>PV of Terminal Value</t>
        </is>
      </c>
      <c r="D38" s="185" t="n"/>
      <c r="E38" s="185" t="n"/>
      <c r="F38" s="536" t="n">
        <v>513.9832776323123</v>
      </c>
      <c r="G38" s="537">
        <f>F38/F$39</f>
        <v/>
      </c>
      <c r="H38" s="159" t="n"/>
      <c r="I38" s="38" t="n"/>
      <c r="K38" s="540">
        <f>'DCF input'!E95</f>
        <v/>
      </c>
      <c r="L38" s="237">
        <f>CONCATENATE(ROUND('DCF input'!F95,)," / ",ROUND('DCF input'!F104,0),"c")</f>
        <v/>
      </c>
      <c r="M38" s="541">
        <f>CONCATENATE(ROUND('DCF input'!G95,)," / ",ROUND('DCF input'!G104,0),"c")</f>
        <v/>
      </c>
      <c r="N38" s="541">
        <f>CONCATENATE(ROUND('DCF input'!H95,)," / ",ROUND('DCF input'!H104,0),"c")</f>
        <v/>
      </c>
      <c r="O38" s="541">
        <f>CONCATENATE(ROUND('DCF input'!I95,)," / ",ROUND('DCF input'!I104,0),"c")</f>
        <v/>
      </c>
      <c r="P38" s="541">
        <f>CONCATENATE(ROUND('DCF input'!J95,)," / ",ROUND('DCF input'!J104,0),"c")</f>
        <v/>
      </c>
      <c r="Q38" s="542" t="n"/>
      <c r="R38" s="542" t="n"/>
      <c r="S38" s="542" t="n"/>
      <c r="T38" s="38" t="n"/>
      <c r="U38" s="38" t="n"/>
    </row>
    <row r="39" ht="20.25" customHeight="1">
      <c r="A39" s="164" t="n"/>
      <c r="B39" s="159" t="n"/>
      <c r="C39" s="232" t="inlineStr">
        <is>
          <t>Implied Firm NPV</t>
        </is>
      </c>
      <c r="D39" s="188" t="n"/>
      <c r="E39" s="188" t="n"/>
      <c r="F39" s="543" t="n">
        <v>776.150509984263</v>
      </c>
      <c r="G39" s="544">
        <f>F39/F$39</f>
        <v/>
      </c>
      <c r="H39" s="159" t="n"/>
      <c r="I39" s="38" t="n"/>
      <c r="K39" s="540">
        <f>'DCF input'!E96</f>
        <v/>
      </c>
      <c r="L39" s="541">
        <f>CONCATENATE(ROUND('DCF input'!F96,)," / ",ROUND('DCF input'!F105,0),"c")</f>
        <v/>
      </c>
      <c r="M39" s="545">
        <f>CONCATENATE(ROUND('DCF input'!G96,)," / ",ROUND('DCF input'!G105,0),"c")</f>
        <v/>
      </c>
      <c r="N39" s="545">
        <f>CONCATENATE(ROUND('DCF input'!H96,)," / ",ROUND('DCF input'!H105,0),"c")</f>
        <v/>
      </c>
      <c r="O39" s="545">
        <f>CONCATENATE(ROUND('DCF input'!I96,)," / ",ROUND('DCF input'!I105,0),"c")</f>
        <v/>
      </c>
      <c r="P39" s="541">
        <f>CONCATENATE(ROUND('DCF input'!J96,)," / ",ROUND('DCF input'!J105,0),"c")</f>
        <v/>
      </c>
      <c r="Q39" s="542" t="n"/>
      <c r="R39" s="542" t="n"/>
      <c r="S39" s="542" t="n"/>
      <c r="T39" s="38" t="n"/>
      <c r="U39" s="38" t="n"/>
    </row>
    <row r="40" ht="20.25" customHeight="1">
      <c r="A40" s="164" t="n"/>
      <c r="B40" s="159" t="n"/>
      <c r="C40" s="231" t="inlineStr">
        <is>
          <t>Net debt &amp; adjustments</t>
        </is>
      </c>
      <c r="D40" s="185" t="n"/>
      <c r="E40" s="185" t="n"/>
      <c r="F40" s="546">
        <f>+'DCF input'!H78</f>
        <v/>
      </c>
      <c r="G40" s="228" t="n"/>
      <c r="H40" s="154" t="n"/>
      <c r="I40" s="38" t="n"/>
      <c r="K40" s="540">
        <f>'DCF input'!E97</f>
        <v/>
      </c>
      <c r="L40" s="541">
        <f>CONCATENATE(ROUND('DCF input'!F97,)," / ",ROUND('DCF input'!F106,0),"c")</f>
        <v/>
      </c>
      <c r="M40" s="545">
        <f>CONCATENATE(ROUND('DCF input'!G97,)," / ",ROUND('DCF input'!G106,0),"c")</f>
        <v/>
      </c>
      <c r="N40" s="547">
        <f>CONCATENATE(ROUND('DCF input'!H97,)," / ",ROUND('DCF input'!H106,0),"c")</f>
        <v/>
      </c>
      <c r="O40" s="545">
        <f>CONCATENATE(ROUND('DCF input'!I97,)," / ",ROUND('DCF input'!I106,0),"c")</f>
        <v/>
      </c>
      <c r="P40" s="541">
        <f>CONCATENATE(ROUND('DCF input'!J97,)," / ",ROUND('DCF input'!J106,0),"c")</f>
        <v/>
      </c>
      <c r="Q40" s="542" t="n"/>
      <c r="R40" s="548" t="n"/>
      <c r="S40" s="542" t="n"/>
      <c r="T40" s="38" t="n"/>
      <c r="U40" s="38" t="n"/>
    </row>
    <row r="41" ht="20.25" customHeight="1">
      <c r="A41" s="164" t="n"/>
      <c r="B41" s="159" t="n"/>
      <c r="C41" s="232" t="inlineStr">
        <is>
          <t>Implied equity value</t>
        </is>
      </c>
      <c r="D41" s="188" t="n"/>
      <c r="E41" s="188" t="n"/>
      <c r="F41" s="543">
        <f>+F39+F40</f>
        <v/>
      </c>
      <c r="G41" s="544" t="n"/>
      <c r="H41" s="159" t="n"/>
      <c r="I41" s="38" t="n"/>
      <c r="K41" s="540">
        <f>'DCF input'!E98</f>
        <v/>
      </c>
      <c r="L41" s="541">
        <f>CONCATENATE(ROUND('DCF input'!F98,)," / ",ROUND('DCF input'!F107,0),"c")</f>
        <v/>
      </c>
      <c r="M41" s="545">
        <f>CONCATENATE(ROUND('DCF input'!G98,)," / ",ROUND('DCF input'!G107,0),"c")</f>
        <v/>
      </c>
      <c r="N41" s="545">
        <f>CONCATENATE(ROUND('DCF input'!H98,)," / ",ROUND('DCF input'!H107,0),"c")</f>
        <v/>
      </c>
      <c r="O41" s="545">
        <f>CONCATENATE(ROUND('DCF input'!I98,)," / ",ROUND('DCF input'!I107,0),"c")</f>
        <v/>
      </c>
      <c r="P41" s="541">
        <f>CONCATENATE(ROUND('DCF input'!J98,)," / ",ROUND('DCF input'!J107,0),"c")</f>
        <v/>
      </c>
      <c r="Q41" s="542" t="n"/>
      <c r="R41" s="542" t="n"/>
      <c r="S41" s="542" t="n"/>
      <c r="T41" s="38" t="n"/>
      <c r="U41" s="38" t="n"/>
    </row>
    <row r="42" ht="20.25" customHeight="1">
      <c r="A42" s="164" t="n"/>
      <c r="B42" s="159" t="n"/>
      <c r="C42" s="231" t="inlineStr">
        <is>
          <t>Implied share price ($c)</t>
        </is>
      </c>
      <c r="D42" s="185" t="n"/>
      <c r="E42" s="185" t="n"/>
      <c r="F42" s="546">
        <f>+F41/Assumptions!D17*100</f>
        <v/>
      </c>
      <c r="G42" s="229" t="n"/>
      <c r="H42" s="159" t="n"/>
      <c r="I42" s="38" t="n"/>
      <c r="J42" s="41" t="n"/>
      <c r="K42" s="549">
        <f>'DCF input'!E99</f>
        <v/>
      </c>
      <c r="L42" s="550">
        <f>CONCATENATE(ROUND('DCF input'!F99,)," / ",ROUND('DCF input'!F108,0),"c")</f>
        <v/>
      </c>
      <c r="M42" s="550">
        <f>CONCATENATE(ROUND('DCF input'!G99,)," / ",ROUND('DCF input'!G108,0),"c")</f>
        <v/>
      </c>
      <c r="N42" s="550">
        <f>CONCATENATE(ROUND('DCF input'!H99,)," / ",ROUND('DCF input'!H108,0),"c")</f>
        <v/>
      </c>
      <c r="O42" s="550">
        <f>CONCATENATE(ROUND('DCF input'!I99,)," / ",ROUND('DCF input'!I108,0),"c")</f>
        <v/>
      </c>
      <c r="P42" s="550">
        <f>CONCATENATE(ROUND('DCF input'!J99,)," / ",ROUND('DCF input'!J108,0),"c")</f>
        <v/>
      </c>
      <c r="Q42" s="542" t="n"/>
      <c r="R42" s="542" t="n"/>
      <c r="S42" s="542" t="n"/>
      <c r="T42" s="38" t="n"/>
      <c r="U42" s="38" t="n"/>
    </row>
    <row r="43" ht="20.25" customHeight="1">
      <c r="B43" s="38" t="n"/>
      <c r="C43" s="233" t="inlineStr">
        <is>
          <t>% premium to current</t>
        </is>
      </c>
      <c r="D43" s="185" t="n"/>
      <c r="E43" s="185" t="n"/>
      <c r="F43" s="551">
        <f>+F42/Assumptions!D16-1</f>
        <v/>
      </c>
      <c r="G43" s="229" t="n"/>
      <c r="H43" s="38" t="n"/>
      <c r="I43" s="38" t="n"/>
      <c r="J43" s="38" t="n"/>
      <c r="K43" s="38" t="n"/>
      <c r="L43" s="38" t="n"/>
      <c r="M43" s="38" t="n"/>
      <c r="N43" s="38" t="n"/>
      <c r="O43" s="38" t="n"/>
      <c r="P43" s="38" t="n"/>
      <c r="Q43" s="38" t="n"/>
      <c r="R43" s="38" t="n"/>
      <c r="S43" s="38" t="n"/>
      <c r="T43" s="38" t="n"/>
      <c r="U43" s="38" t="n"/>
    </row>
    <row r="44" ht="16" customHeight="1">
      <c r="B44" s="38" t="n"/>
      <c r="C44" s="38" t="n"/>
      <c r="D44" s="38" t="n"/>
      <c r="E44" s="38" t="n"/>
      <c r="F44" s="38" t="n"/>
      <c r="G44" s="38" t="n"/>
      <c r="H44" s="38" t="n"/>
      <c r="I44" s="38" t="n"/>
      <c r="J44" s="38" t="n"/>
      <c r="K44" s="38" t="n"/>
      <c r="L44" s="38" t="n"/>
      <c r="M44" s="38" t="n"/>
      <c r="N44" s="38" t="n"/>
      <c r="O44" s="38" t="n"/>
      <c r="P44" s="38" t="n"/>
      <c r="Q44" s="38" t="n"/>
      <c r="R44" s="38" t="n"/>
      <c r="S44" s="38" t="n"/>
      <c r="T44" s="38" t="n"/>
      <c r="U44" s="38" t="n"/>
      <c r="V44" s="552" t="n"/>
    </row>
  </sheetData>
  <mergeCells count="3">
    <mergeCell ref="J37:J42"/>
    <mergeCell ref="C35:E36"/>
    <mergeCell ref="L36:P3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Joe J</dc:creator>
  <dcterms:created xsi:type="dcterms:W3CDTF">2010-12-03T17:25:22Z</dcterms:created>
  <dcterms:modified xsi:type="dcterms:W3CDTF">2026-05-28T23:54:53Z</dcterms:modified>
  <cp:lastModifiedBy>Archie Sampson</cp:lastModifiedBy>
  <cp:lastPrinted>2019-02-04T16:32:05Z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=fdsSearchOrder" fmtid="{D5CDD505-2E9C-101B-9397-08002B2CF9AE}" pid="2">
    <vt:i4>0</vt:i4>
  </property>
  <property name="PitchProPlusUniqueWorkbookId" fmtid="{D5CDD505-2E9C-101B-9397-08002B2CF9AE}" pid="3">
    <vt:lpwstr>b0967e03-7035-4363-8f0e-435491059870</vt:lpwstr>
  </property>
  <property name="HiddenData" fmtid="{D5CDD505-2E9C-101B-9397-08002B2CF9AE}" pid="4">
    <vt:lpwstr xml:space="preserve">Hidden Sheets: __FDSCACHE__,__FDS_SIDEBAR__
</vt:lpwstr>
  </property>
  <property name="FormulaData" fmtid="{D5CDD505-2E9C-101B-9397-08002B2CF9AE}" pid="5">
    <vt:lpwstr>Formula Contents:
Sheet Name: DCF output: S7 (...)</vt:lpwstr>
  </property>
</Properties>
</file>