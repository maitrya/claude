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P&amp;L" state="visible" r:id="rId5"/>
    <sheet sheetId="3" name="Valuation Calculation" state="visible" r:id="rId6"/>
  </sheets>
  <calcPr calcId="171027"/>
</workbook>
</file>

<file path=xl/sharedStrings.xml><?xml version="1.0" encoding="utf-8"?>
<sst xmlns="http://schemas.openxmlformats.org/spreadsheetml/2006/main" count="90" uniqueCount="65">
  <si>
    <t>WACC BUILD</t>
  </si>
  <si>
    <t>Risk-free rate (10Y AGB)</t>
  </si>
  <si>
    <t>Equity risk premium</t>
  </si>
  <si>
    <t>Beta (levered)</t>
  </si>
  <si>
    <t>Cost of equity (CAPM)</t>
  </si>
  <si>
    <t>Pre-tax cost of debt</t>
  </si>
  <si>
    <t>Tax rate</t>
  </si>
  <si>
    <t>After-tax cost of debt</t>
  </si>
  <si>
    <t>Market value of equity ($m)</t>
  </si>
  <si>
    <t>Market value of debt ($m)</t>
  </si>
  <si>
    <t>Enterprise value ($m)</t>
  </si>
  <si>
    <t>Equity weight (E/V)</t>
  </si>
  <si>
    <t>Debt weight (D/V)</t>
  </si>
  <si>
    <t>WACC</t>
  </si>
  <si>
    <t>P&amp;L DRIVERS</t>
  </si>
  <si>
    <t>Year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</si>
  <si>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</si>
  <si>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</si>
  <si>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</si>
  <si>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</si>
  <si>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</si>
  <si>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</si>
  <si>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</si>
  <si>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</si>
  <si>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</si>
  <si>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</si>
  <si>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</si>
  <si>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Revenue growth %</t>
  </si>
  <si>
    <t>EBITDA margin %</t>
  </si>
  <si>
    <t>D&amp;A ($m)</t>
  </si>
  <si>
    <t>Capex ($m)</t>
  </si>
  <si>
    <t>Change in working capital ($m)</t>
  </si>
  <si>
    <t>TERMINAL VALUE INPUTS</t>
  </si>
  <si>
    <t>Perpetuity growth rate</t>
  </si>
  <si>
    <t>Exit EBITDA multiple</t>
  </si>
  <si>
    <t>EQUITY BRIDGE INPUTS</t>
  </si>
  <si>
    <t>Net debt ($m)</t>
  </si>
  <si>
    <t>Minority interests ($m)</t>
  </si>
  <si>
    <t>Investments in associates ($m)</t>
  </si>
  <si>
    <t>Shares outstanding (m)</t>
  </si>
  <si>
    <t>P&amp;L</t>
  </si>
  <si>
    <t>Revenue</t>
  </si>
  <si>
    <t>EBITDA</t>
  </si>
  <si>
    <t>D&amp;A</t>
  </si>
  <si>
    <t>EBIT</t>
  </si>
  <si>
    <t>Tax on EBIT</t>
  </si>
  <si>
    <t>EBIAT (NOPAT)</t>
  </si>
  <si>
    <t>Valuation Calculation</t>
  </si>
  <si>
    <t>Discount period</t>
  </si>
  <si>
    <t>EBIAT (from P&amp;L)</t>
  </si>
  <si>
    <t>+ D&amp;A</t>
  </si>
  <si>
    <t>- Capex</t>
  </si>
  <si>
    <t>- Change in WC</t>
  </si>
  <si>
    <t>FCF</t>
  </si>
  <si>
    <t>Discount factor</t>
  </si>
  <si>
    <t>PV(FCF)</t>
  </si>
  <si>
    <t>Sum of PV(FCF)</t>
  </si>
  <si>
    <t>Terminal value (perp)</t>
  </si>
  <si>
    <t>PV of TV</t>
  </si>
  <si>
    <t>Enterprise Value</t>
  </si>
  <si>
    <t>Net debt</t>
  </si>
  <si>
    <t>Minority interests</t>
  </si>
  <si>
    <t>Investments in associates</t>
  </si>
  <si>
    <t>Equity Value</t>
  </si>
  <si>
    <t>Implied share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</si>
</sst>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666666"/>
      <sz val="12"/>
    </font>
    <font>
      <b/>
      <color rgb="FF666666"/>
      <sz val="11"/>
    </font>
    <font>
      <color rgb="FF0000FF"/>
      <sz val="11"/>
    </font>
    <font>
      <color rgb="FF000000"/>
      <sz val="11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8" customWidth="1"/>
    <col min="2" max="12" width="14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s="3">
        <v>0.025</v>
      </c>
    </row>
    <row r="4" spans="1:2" x14ac:dyDescent="0.25">
      <c r="A4" s="2" t="s">
        <v>2</v>
      </c>
      <c r="B4" s="3">
        <v>0.065</v>
      </c>
    </row>
    <row r="5" spans="1:2" x14ac:dyDescent="0.25">
      <c r="A5" s="2" t="s">
        <v>3</v>
      </c>
      <c r="B5" s="3">
        <v>1.1</v>
      </c>
    </row>
    <row r="6" spans="1:2" x14ac:dyDescent="0.25">
      <c r="A6" s="2" t="s">
        <v>4</v>
      </c>
      <c r="B6" s="4">
        <f>B3+B5*B4</f>
      </c>
    </row>
    <row r="8" spans="1:2" x14ac:dyDescent="0.25">
      <c r="A8" s="2" t="s">
        <v>5</v>
      </c>
      <c r="B8" s="3">
        <v>0.05</v>
      </c>
    </row>
    <row r="9" spans="1:2" x14ac:dyDescent="0.25">
      <c r="A9" s="2" t="s">
        <v>6</v>
      </c>
      <c r="B9" s="3">
        <v>0.17</v>
      </c>
    </row>
    <row r="10" spans="1:2" x14ac:dyDescent="0.25">
      <c r="A10" s="2" t="s">
        <v>7</v>
      </c>
      <c r="B10" s="4">
        <f>B8*(1-B9)</f>
      </c>
    </row>
    <row r="12" spans="1:2" x14ac:dyDescent="0.25">
      <c r="A12" s="2" t="s">
        <v>8</v>
      </c>
      <c r="B12" s="3">
        <v>328.35</v>
      </c>
    </row>
    <row r="13" spans="1:2" x14ac:dyDescent="0.25">
      <c r="A13" s="2" t="s">
        <v>9</v>
      </c>
      <c r="B13" s="3">
        <v>84.62</v>
      </c>
    </row>
    <row r="14" spans="1:2" x14ac:dyDescent="0.25">
      <c r="A14" s="2" t="s">
        <v>10</v>
      </c>
      <c r="B14" s="4">
        <f>B12+B13</f>
      </c>
    </row>
    <row r="15" spans="1:2" x14ac:dyDescent="0.25">
      <c r="A15" s="2" t="s">
        <v>11</v>
      </c>
      <c r="B15" s="4">
        <f>B12/B14</f>
      </c>
    </row>
    <row r="16" spans="1:2" x14ac:dyDescent="0.25">
      <c r="A16" s="2" t="s">
        <v>12</v>
      </c>
      <c r="B16" s="4">
        <f>B13/B14</f>
      </c>
    </row>
    <row r="17" spans="1:2" x14ac:dyDescent="0.25">
      <c r="A17" s="2" t="s">
        <v>13</v>
      </c>
      <c r="B17" s="4">
        <f>B15*B6+B16*B10</f>
      </c>
    </row>
    <row r="20" spans="1:1" x14ac:dyDescent="0.25">
      <c r="A20" s="1" t="s">
        <v>14</v>
      </c>
    </row>
    <row r="22" spans="1:12" x14ac:dyDescent="0.25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24</v>
      </c>
      <c r="K22" s="2" t="s">
        <v>25</v>
      </c>
      <c r="L22" s="2" t="s">
        <v>26</v>
      </c>
    </row>
    <row r="23" spans="1:12" x14ac:dyDescent="0.25">
      <c r="A23" s="2" t="s">
        <v>27</v>
      </c>
      <c r="C23" s="3">
        <v>0.0926</v>
      </c>
      <c r="D23" s="3">
        <v>0.0782</v>
      </c>
      <c r="E23" s="3">
        <v>0.0688</v>
      </c>
      <c r="F23" s="3">
        <v>-0.003</v>
      </c>
      <c r="G23" s="3">
        <v>0.02</v>
      </c>
      <c r="H23" s="3">
        <v>0.018</v>
      </c>
      <c r="I23" s="3">
        <v>0.016</v>
      </c>
      <c r="J23" s="3">
        <v>0.014</v>
      </c>
      <c r="K23" s="3">
        <v>0.012</v>
      </c>
      <c r="L23" s="3">
        <v>0.01</v>
      </c>
    </row>
    <row r="24" spans="1:12" x14ac:dyDescent="0.25">
      <c r="A24" s="2" t="s">
        <v>28</v>
      </c>
      <c r="B24" s="3">
        <v>0.082</v>
      </c>
      <c r="C24" s="3">
        <v>0.074</v>
      </c>
      <c r="D24" s="3">
        <v>0.083</v>
      </c>
      <c r="E24" s="3">
        <v>0.086</v>
      </c>
      <c r="F24" s="3">
        <v>0.088</v>
      </c>
      <c r="G24" s="3">
        <v>0.089</v>
      </c>
      <c r="H24" s="3">
        <v>0.089</v>
      </c>
      <c r="I24" s="3">
        <v>0.089</v>
      </c>
      <c r="J24" s="3">
        <v>0.09</v>
      </c>
      <c r="K24" s="3">
        <v>0.09</v>
      </c>
      <c r="L24" s="3">
        <v>0.09</v>
      </c>
    </row>
    <row r="25" spans="1:12" x14ac:dyDescent="0.25">
      <c r="A25" s="2" t="s">
        <v>29</v>
      </c>
      <c r="B25" s="3">
        <v>-36.1</v>
      </c>
      <c r="C25" s="3">
        <v>-40.5</v>
      </c>
      <c r="D25" s="3">
        <v>-47.2</v>
      </c>
      <c r="E25" s="3">
        <v>-51.8</v>
      </c>
      <c r="F25" s="3">
        <v>-54.8</v>
      </c>
      <c r="G25" s="3">
        <v>-53.6</v>
      </c>
      <c r="H25" s="3">
        <v>-52.4</v>
      </c>
      <c r="I25" s="3">
        <v>-51.2</v>
      </c>
      <c r="J25" s="3">
        <v>-49.9</v>
      </c>
      <c r="K25" s="3">
        <v>-48.7</v>
      </c>
      <c r="L25" s="3">
        <v>-47.5</v>
      </c>
    </row>
    <row r="26" spans="1:12" x14ac:dyDescent="0.25">
      <c r="A26" s="2" t="s">
        <v>30</v>
      </c>
      <c r="B26" s="3">
        <v>-36</v>
      </c>
      <c r="C26" s="3">
        <v>-51</v>
      </c>
      <c r="D26" s="3">
        <v>-50</v>
      </c>
      <c r="E26" s="3">
        <v>-50</v>
      </c>
      <c r="F26" s="3">
        <v>-50</v>
      </c>
      <c r="G26" s="3">
        <v>-50</v>
      </c>
      <c r="H26" s="3">
        <v>-50</v>
      </c>
      <c r="I26" s="3">
        <v>-50</v>
      </c>
      <c r="J26" s="3">
        <v>-50</v>
      </c>
      <c r="K26" s="3">
        <v>-50</v>
      </c>
      <c r="L26" s="3">
        <v>-50</v>
      </c>
    </row>
    <row r="27" spans="1:12" x14ac:dyDescent="0.25">
      <c r="A27" s="2" t="s">
        <v>31</v>
      </c>
      <c r="B27" s="3">
        <v>6</v>
      </c>
      <c r="C27" s="3">
        <v>16.1</v>
      </c>
      <c r="D27" s="3">
        <v>15.2</v>
      </c>
      <c r="E27" s="3">
        <v>11.1</v>
      </c>
      <c r="F27" s="3">
        <v>4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</row>
    <row r="30" spans="1:1" x14ac:dyDescent="0.25">
      <c r="A30" s="1" t="s">
        <v>32</v>
      </c>
    </row>
    <row r="32" spans="1:2" x14ac:dyDescent="0.25">
      <c r="A32" s="2" t="s">
        <v>33</v>
      </c>
      <c r="B32" s="3">
        <v>0.005</v>
      </c>
    </row>
    <row r="33" spans="1:2" x14ac:dyDescent="0.25">
      <c r="A33" s="2" t="s">
        <v>34</v>
      </c>
      <c r="B33" s="3">
        <v>8.5</v>
      </c>
    </row>
    <row r="36" spans="1:1" x14ac:dyDescent="0.25">
      <c r="A36" s="1" t="s">
        <v>35</v>
      </c>
    </row>
    <row r="38" spans="1:2" x14ac:dyDescent="0.25">
      <c r="A38" s="2" t="s">
        <v>36</v>
      </c>
      <c r="B38" s="3">
        <v>84.62</v>
      </c>
    </row>
    <row r="39" spans="1:2" x14ac:dyDescent="0.25">
      <c r="A39" s="2" t="s">
        <v>37</v>
      </c>
      <c r="B39" s="3">
        <v>0</v>
      </c>
    </row>
    <row r="40" spans="1:2" x14ac:dyDescent="0.25">
      <c r="A40" s="2" t="s">
        <v>38</v>
      </c>
      <c r="B40" s="3">
        <v>0</v>
      </c>
    </row>
    <row r="41" spans="1:2" x14ac:dyDescent="0.25">
      <c r="A41" s="2" t="s">
        <v>39</v>
      </c>
      <c r="B41" s="3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3" width="14" customWidth="1"/>
  </cols>
  <sheetData>
    <row r="1" spans="1:1" x14ac:dyDescent="0.25">
      <c r="A1" s="5" t="s">
        <v>40</v>
      </c>
    </row>
    <row r="3" spans="1:12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</row>
    <row r="5" spans="1:12" x14ac:dyDescent="0.25">
      <c r="A5" s="2" t="s">
        <v>41</v>
      </c>
      <c r="B5" s="3">
        <v>1149.2</v>
      </c>
      <c r="C5" s="4">
        <f>B5*(1+Assumptions!C23)</f>
      </c>
      <c r="D5" s="4">
        <f>C5*(1+Assumptions!D23)</f>
      </c>
      <c r="E5" s="4">
        <f>D5*(1+Assumptions!E23)</f>
      </c>
      <c r="F5" s="4">
        <f>E5*(1+Assumptions!F23)</f>
      </c>
      <c r="G5" s="4">
        <f>F5*(1+Assumptions!G23)</f>
      </c>
      <c r="H5" s="4">
        <f>G5*(1+Assumptions!H23)</f>
      </c>
      <c r="I5" s="4">
        <f>H5*(1+Assumptions!I23)</f>
      </c>
      <c r="J5" s="4">
        <f>I5*(1+Assumptions!J23)</f>
      </c>
      <c r="K5" s="4">
        <f>J5*(1+Assumptions!K23)</f>
      </c>
      <c r="L5" s="4">
        <f>K5*(1+Assumptions!L23)</f>
      </c>
    </row>
    <row r="6" spans="1:12" x14ac:dyDescent="0.25">
      <c r="A6" s="2" t="s">
        <v>42</v>
      </c>
      <c r="B6" s="4">
        <f>B5*Assumptions!B24</f>
      </c>
      <c r="C6" s="4">
        <f>C5*Assumptions!C24</f>
      </c>
      <c r="D6" s="4">
        <f>D5*Assumptions!D24</f>
      </c>
      <c r="E6" s="4">
        <f>E5*Assumptions!E24</f>
      </c>
      <c r="F6" s="4">
        <f>F5*Assumptions!F24</f>
      </c>
      <c r="G6" s="4">
        <f>G5*Assumptions!G24</f>
      </c>
      <c r="H6" s="4">
        <f>H5*Assumptions!H24</f>
      </c>
      <c r="I6" s="4">
        <f>I5*Assumptions!I24</f>
      </c>
      <c r="J6" s="4">
        <f>J5*Assumptions!J24</f>
      </c>
      <c r="K6" s="4">
        <f>K5*Assumptions!K24</f>
      </c>
      <c r="L6" s="4">
        <f>L5*Assumptions!L24</f>
      </c>
    </row>
    <row r="7" spans="1:12" x14ac:dyDescent="0.25">
      <c r="A7" s="2" t="s">
        <v>43</v>
      </c>
      <c r="B7" s="4">
        <f>Assumptions!B25</f>
      </c>
      <c r="C7" s="4">
        <f>Assumptions!C25</f>
      </c>
      <c r="D7" s="4">
        <f>Assumptions!D25</f>
      </c>
      <c r="E7" s="4">
        <f>Assumptions!E25</f>
      </c>
      <c r="F7" s="4">
        <f>Assumptions!F25</f>
      </c>
      <c r="G7" s="4">
        <f>Assumptions!G25</f>
      </c>
      <c r="H7" s="4">
        <f>Assumptions!H25</f>
      </c>
      <c r="I7" s="4">
        <f>Assumptions!I25</f>
      </c>
      <c r="J7" s="4">
        <f>Assumptions!J25</f>
      </c>
      <c r="K7" s="4">
        <f>Assumptions!K25</f>
      </c>
      <c r="L7" s="4">
        <f>Assumptions!L25</f>
      </c>
    </row>
    <row r="8" spans="1:12" x14ac:dyDescent="0.25">
      <c r="A8" s="2" t="s">
        <v>44</v>
      </c>
      <c r="B8" s="4">
        <f>B6+B7</f>
      </c>
      <c r="C8" s="4">
        <f>C6+C7</f>
      </c>
      <c r="D8" s="4">
        <f>D6+D7</f>
      </c>
      <c r="E8" s="4">
        <f>E6+E7</f>
      </c>
      <c r="F8" s="4">
        <f>F6+F7</f>
      </c>
      <c r="G8" s="4">
        <f>G6+G7</f>
      </c>
      <c r="H8" s="4">
        <f>H6+H7</f>
      </c>
      <c r="I8" s="4">
        <f>I6+I7</f>
      </c>
      <c r="J8" s="4">
        <f>J6+J7</f>
      </c>
      <c r="K8" s="4">
        <f>K6+K7</f>
      </c>
      <c r="L8" s="4">
        <f>L6+L7</f>
      </c>
    </row>
    <row r="9" spans="1:12" x14ac:dyDescent="0.25">
      <c r="A9" s="2" t="s">
        <v>45</v>
      </c>
      <c r="B9" s="4">
        <f>-B8*Assumptions!$B$9</f>
      </c>
      <c r="C9" s="4">
        <f>-C8*Assumptions!$B$9</f>
      </c>
      <c r="D9" s="4">
        <f>-D8*Assumptions!$B$9</f>
      </c>
      <c r="E9" s="4">
        <f>-E8*Assumptions!$B$9</f>
      </c>
      <c r="F9" s="4">
        <f>-F8*Assumptions!$B$9</f>
      </c>
      <c r="G9" s="4">
        <f>-G8*Assumptions!$B$9</f>
      </c>
      <c r="H9" s="4">
        <f>-H8*Assumptions!$B$9</f>
      </c>
      <c r="I9" s="4">
        <f>-I8*Assumptions!$B$9</f>
      </c>
      <c r="J9" s="4">
        <f>-J8*Assumptions!$B$9</f>
      </c>
      <c r="K9" s="4">
        <f>-K8*Assumptions!$B$9</f>
      </c>
      <c r="L9" s="4">
        <f>-L8*Assumptions!$B$9</f>
      </c>
    </row>
    <row r="10" spans="1:12" x14ac:dyDescent="0.25">
      <c r="A10" s="2" t="s">
        <v>46</v>
      </c>
      <c r="B10" s="4">
        <f>B8+B9</f>
      </c>
      <c r="C10" s="4">
        <f>C8+C9</f>
      </c>
      <c r="D10" s="4">
        <f>D8+D9</f>
      </c>
      <c r="E10" s="4">
        <f>E8+E9</f>
      </c>
      <c r="F10" s="4">
        <f>F8+F9</f>
      </c>
      <c r="G10" s="4">
        <f>G8+G9</f>
      </c>
      <c r="H10" s="4">
        <f>H8+H9</f>
      </c>
      <c r="I10" s="4">
        <f>I8+I9</f>
      </c>
      <c r="J10" s="4">
        <f>J8+J9</f>
      </c>
      <c r="K10" s="4">
        <f>K8+K9</f>
      </c>
      <c r="L10" s="4">
        <f>L8+L9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3" width="14" customWidth="1"/>
  </cols>
  <sheetData>
    <row r="1" spans="1:1" x14ac:dyDescent="0.25">
      <c r="A1" s="5" t="s">
        <v>47</v>
      </c>
    </row>
    <row r="3" spans="1:12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</row>
    <row r="4" spans="1:12" x14ac:dyDescent="0.25">
      <c r="A4" s="2" t="s">
        <v>48</v>
      </c>
      <c r="B4" s="3">
        <v>0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</row>
    <row r="6" spans="1:12" x14ac:dyDescent="0.25">
      <c r="A6" s="2" t="s">
        <v>49</v>
      </c>
      <c r="B6" s="4">
        <f>'P&amp;L'!B10</f>
      </c>
      <c r="C6" s="4">
        <f>'P&amp;L'!C10</f>
      </c>
      <c r="D6" s="4">
        <f>'P&amp;L'!D10</f>
      </c>
      <c r="E6" s="4">
        <f>'P&amp;L'!E10</f>
      </c>
      <c r="F6" s="4">
        <f>'P&amp;L'!F10</f>
      </c>
      <c r="G6" s="4">
        <f>'P&amp;L'!G10</f>
      </c>
      <c r="H6" s="4">
        <f>'P&amp;L'!H10</f>
      </c>
      <c r="I6" s="4">
        <f>'P&amp;L'!I10</f>
      </c>
      <c r="J6" s="4">
        <f>'P&amp;L'!J10</f>
      </c>
      <c r="K6" s="4">
        <f>'P&amp;L'!K10</f>
      </c>
      <c r="L6" s="4">
        <f>'P&amp;L'!L10</f>
      </c>
    </row>
    <row r="7" spans="1:12" x14ac:dyDescent="0.25">
      <c r="A7" s="2" t="s">
        <v>50</v>
      </c>
      <c r="B7" s="4">
        <f>-'P&amp;L'!B7</f>
      </c>
      <c r="C7" s="4">
        <f>-'P&amp;L'!C7</f>
      </c>
      <c r="D7" s="4">
        <f>-'P&amp;L'!D7</f>
      </c>
      <c r="E7" s="4">
        <f>-'P&amp;L'!E7</f>
      </c>
      <c r="F7" s="4">
        <f>-'P&amp;L'!F7</f>
      </c>
      <c r="G7" s="4">
        <f>-'P&amp;L'!G7</f>
      </c>
      <c r="H7" s="4">
        <f>-'P&amp;L'!H7</f>
      </c>
      <c r="I7" s="4">
        <f>-'P&amp;L'!I7</f>
      </c>
      <c r="J7" s="4">
        <f>-'P&amp;L'!J7</f>
      </c>
      <c r="K7" s="4">
        <f>-'P&amp;L'!K7</f>
      </c>
      <c r="L7" s="4">
        <f>-'P&amp;L'!L7</f>
      </c>
    </row>
    <row r="8" spans="1:12" x14ac:dyDescent="0.25">
      <c r="A8" s="2" t="s">
        <v>51</v>
      </c>
      <c r="B8" s="4">
        <f>Assumptions!B26</f>
      </c>
      <c r="C8" s="4">
        <f>Assumptions!C26</f>
      </c>
      <c r="D8" s="4">
        <f>Assumptions!D26</f>
      </c>
      <c r="E8" s="4">
        <f>Assumptions!E26</f>
      </c>
      <c r="F8" s="4">
        <f>Assumptions!F26</f>
      </c>
      <c r="G8" s="4">
        <f>Assumptions!G26</f>
      </c>
      <c r="H8" s="4">
        <f>Assumptions!H26</f>
      </c>
      <c r="I8" s="4">
        <f>Assumptions!I26</f>
      </c>
      <c r="J8" s="4">
        <f>Assumptions!J26</f>
      </c>
      <c r="K8" s="4">
        <f>Assumptions!K26</f>
      </c>
      <c r="L8" s="4">
        <f>Assumptions!L26</f>
      </c>
    </row>
    <row r="9" spans="1:12" x14ac:dyDescent="0.25">
      <c r="A9" s="2" t="s">
        <v>52</v>
      </c>
      <c r="B9" s="4">
        <f>-Assumptions!B27</f>
      </c>
      <c r="C9" s="4">
        <f>-Assumptions!C27</f>
      </c>
      <c r="D9" s="4">
        <f>-Assumptions!D27</f>
      </c>
      <c r="E9" s="4">
        <f>-Assumptions!E27</f>
      </c>
      <c r="F9" s="4">
        <f>-Assumptions!F27</f>
      </c>
      <c r="G9" s="4">
        <f>-Assumptions!G27</f>
      </c>
      <c r="H9" s="4">
        <f>-Assumptions!H27</f>
      </c>
      <c r="I9" s="4">
        <f>-Assumptions!I27</f>
      </c>
      <c r="J9" s="4">
        <f>-Assumptions!J27</f>
      </c>
      <c r="K9" s="4">
        <f>-Assumptions!K27</f>
      </c>
      <c r="L9" s="4">
        <f>-Assumptions!L27</f>
      </c>
    </row>
    <row r="10" spans="1:12" x14ac:dyDescent="0.25">
      <c r="A10" s="2" t="s">
        <v>53</v>
      </c>
      <c r="B10" s="4">
        <f>B6+B7+B8+B9</f>
      </c>
      <c r="C10" s="4">
        <f>C6+C7+C8+C9</f>
      </c>
      <c r="D10" s="4">
        <f>D6+D7+D8+D9</f>
      </c>
      <c r="E10" s="4">
        <f>E6+E7+E8+E9</f>
      </c>
      <c r="F10" s="4">
        <f>F6+F7+F8+F9</f>
      </c>
      <c r="G10" s="4">
        <f>G6+G7+G8+G9</f>
      </c>
      <c r="H10" s="4">
        <f>H6+H7+H8+H9</f>
      </c>
      <c r="I10" s="4">
        <f>I6+I7+I8+I9</f>
      </c>
      <c r="J10" s="4">
        <f>J6+J7+J8+J9</f>
      </c>
      <c r="K10" s="4">
        <f>K6+K7+K8+K9</f>
      </c>
      <c r="L10" s="4">
        <f>L6+L7+L8+L9</f>
      </c>
    </row>
    <row r="12" spans="1:12" x14ac:dyDescent="0.25">
      <c r="A12" s="2" t="s">
        <v>54</v>
      </c>
      <c r="B12" s="4">
        <f>1/(1+Assumptions!$B$17)^B4</f>
      </c>
      <c r="C12" s="4">
        <f>1/(1+Assumptions!$B$17)^C4</f>
      </c>
      <c r="D12" s="4">
        <f>1/(1+Assumptions!$B$17)^D4</f>
      </c>
      <c r="E12" s="4">
        <f>1/(1+Assumptions!$B$17)^E4</f>
      </c>
      <c r="F12" s="4">
        <f>1/(1+Assumptions!$B$17)^F4</f>
      </c>
      <c r="G12" s="4">
        <f>1/(1+Assumptions!$B$17)^G4</f>
      </c>
      <c r="H12" s="4">
        <f>1/(1+Assumptions!$B$17)^H4</f>
      </c>
      <c r="I12" s="4">
        <f>1/(1+Assumptions!$B$17)^I4</f>
      </c>
      <c r="J12" s="4">
        <f>1/(1+Assumptions!$B$17)^J4</f>
      </c>
      <c r="K12" s="4">
        <f>1/(1+Assumptions!$B$17)^K4</f>
      </c>
      <c r="L12" s="4">
        <f>1/(1+Assumptions!$B$17)^L4</f>
      </c>
    </row>
    <row r="13" spans="1:12" x14ac:dyDescent="0.25">
      <c r="A13" s="2" t="s">
        <v>55</v>
      </c>
      <c r="B13" s="4">
        <f>B10*B12</f>
      </c>
      <c r="C13" s="4">
        <f>C10*C12</f>
      </c>
      <c r="D13" s="4">
        <f>D10*D12</f>
      </c>
      <c r="E13" s="4">
        <f>E10*E12</f>
      </c>
      <c r="F13" s="4">
        <f>F10*F12</f>
      </c>
      <c r="G13" s="4">
        <f>G10*G12</f>
      </c>
      <c r="H13" s="4">
        <f>H10*H12</f>
      </c>
      <c r="I13" s="4">
        <f>I10*I12</f>
      </c>
      <c r="J13" s="4">
        <f>J10*J12</f>
      </c>
      <c r="K13" s="4">
        <f>K10*K12</f>
      </c>
      <c r="L13" s="4">
        <f>L10*L12</f>
      </c>
    </row>
    <row r="15" spans="1:2" x14ac:dyDescent="0.25">
      <c r="A15" s="2" t="s">
        <v>56</v>
      </c>
      <c r="B15" s="4">
        <f>SUM(C13:L13)</f>
      </c>
    </row>
    <row r="17" spans="1:2" x14ac:dyDescent="0.25">
      <c r="A17" s="2" t="s">
        <v>57</v>
      </c>
      <c r="B17" s="4">
        <f>L10*(1+Assumptions!B32)/(Assumptions!B17-Assumptions!B32)</f>
      </c>
    </row>
    <row r="18" spans="1:2" x14ac:dyDescent="0.25">
      <c r="A18" s="2" t="s">
        <v>58</v>
      </c>
      <c r="B18" s="4">
        <f>B17/(1+Assumptions!B17)^L4</f>
      </c>
    </row>
    <row r="20" spans="1:2" x14ac:dyDescent="0.25">
      <c r="A20" s="2" t="s">
        <v>59</v>
      </c>
      <c r="B20" s="4">
        <f>B15+B18</f>
      </c>
    </row>
    <row r="22" spans="1:2" x14ac:dyDescent="0.25">
      <c r="A22" s="2" t="s">
        <v>60</v>
      </c>
      <c r="B22" s="4">
        <f>-Assumptions!B38</f>
      </c>
    </row>
    <row r="23" spans="1:2" x14ac:dyDescent="0.25">
      <c r="A23" s="2" t="s">
        <v>61</v>
      </c>
      <c r="B23" s="4">
        <f>-Assumptions!B39</f>
      </c>
    </row>
    <row r="24" spans="1:2" x14ac:dyDescent="0.25">
      <c r="A24" s="2" t="s">
        <v>62</v>
      </c>
      <c r="B24" s="4">
        <f>Assumptions!B40</f>
      </c>
    </row>
    <row r="25" spans="1:2" x14ac:dyDescent="0.25">
      <c r="A25" s="2" t="s">
        <v>63</v>
      </c>
      <c r="B25" s="4">
        <f>B20+B22+B23+B24</f>
      </c>
    </row>
    <row r="27" spans="1:2" x14ac:dyDescent="0.25">
      <c r="A27" s="2" t="s">
        <v>39</v>
      </c>
      <c r="B27" s="4">
        <f>Assumptions!B41</f>
      </c>
    </row>
    <row r="28" spans="1:2" x14ac:dyDescent="0.25">
      <c r="A28" s="2" t="s">
        <v>64</v>
      </c>
      <c r="B28" s="4">
        <f>B25/B27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P&amp;L</vt:lpstr>
      <vt:lpstr>Valuation Calculation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Prepped Talent</dc:creator>
  <dc:title/>
  <dc:subject/>
  <dc:description/>
  <cp:keywords/>
  <cp:category/>
  <cp:lastModifiedBy>Unknown</cp:lastModifiedBy>
  <dcterms:created xsi:type="dcterms:W3CDTF">2026-05-12T04:21:23Z</dcterms:created>
  <dcterms:modified xsi:type="dcterms:W3CDTF">2026-05-12T04:21:23Z</dcterms:modified>
</cp:coreProperties>
</file>