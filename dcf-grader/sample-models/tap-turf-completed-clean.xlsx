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mpany fin forecasts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#,##0.0;(#,##0.0)"/>
    <numFmt numFmtId="167" formatCode="0.0"/>
    <numFmt numFmtId="168" formatCode="0.00&quot;x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FFFFFF"/>
    </font>
    <font>
      <color rgb="000000CC"/>
    </font>
    <font>
      <b val="1"/>
      <i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5" fillId="3" borderId="1" pivotButton="0" quotePrefix="0" xfId="0"/>
    <xf numFmtId="164" fontId="3" fillId="0" borderId="0" pivotButton="0" quotePrefix="0" xfId="0"/>
    <xf numFmtId="0" fontId="3" fillId="4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6" fontId="3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2">
      <c r="B2" s="1" t="inlineStr">
        <is>
          <t>Tap &amp; Turf Holdings Pty Ltd — DCF Assumptions</t>
        </is>
      </c>
    </row>
    <row r="3">
      <c r="B3" s="2" t="inlineStr">
        <is>
          <t>Project Boundary | Round 1 Indicative Bid | AUD millions</t>
        </is>
      </c>
    </row>
    <row r="5">
      <c r="B5" s="3" t="inlineStr">
        <is>
          <t>Last historical FYE</t>
        </is>
      </c>
      <c r="C5" t="inlineStr">
        <is>
          <t>FY25 (Mar-25)</t>
        </is>
      </c>
    </row>
    <row r="6">
      <c r="B6" s="3" t="inlineStr">
        <is>
          <t>Transaction date</t>
        </is>
      </c>
      <c r="C6" t="inlineStr">
        <is>
          <t>FY26 (Mar-26)</t>
        </is>
      </c>
    </row>
    <row r="8">
      <c r="B8" s="4" t="inlineStr">
        <is>
          <t>Forecast drivers</t>
        </is>
      </c>
      <c r="C8" s="4" t="inlineStr">
        <is>
          <t>Value</t>
        </is>
      </c>
    </row>
    <row r="9">
      <c r="B9" t="inlineStr">
        <is>
          <t>Revenue growth (p.a.)</t>
        </is>
      </c>
      <c r="C9" s="5" t="n">
        <v>0.06</v>
      </c>
      <c r="D9" s="2" t="inlineStr">
        <is>
          <t>p_rev_growth</t>
        </is>
      </c>
    </row>
    <row r="10">
      <c r="B10" t="inlineStr">
        <is>
          <t>EBITDA margin (flat)</t>
        </is>
      </c>
      <c r="C10" s="5" t="n">
        <v>0.0872</v>
      </c>
      <c r="D10" s="2" t="inlineStr">
        <is>
          <t>p_ebitda_margin</t>
        </is>
      </c>
    </row>
    <row r="11">
      <c r="B11" t="inlineStr">
        <is>
          <t>D&amp;A / revenue</t>
        </is>
      </c>
      <c r="C11" s="5" t="n">
        <v>0.038</v>
      </c>
      <c r="D11" s="2" t="inlineStr">
        <is>
          <t>p_da_pct</t>
        </is>
      </c>
    </row>
    <row r="12">
      <c r="B12" t="inlineStr">
        <is>
          <t>Capex / revenue</t>
        </is>
      </c>
      <c r="C12" s="5" t="n">
        <v>0.03</v>
      </c>
      <c r="D12" s="2" t="inlineStr">
        <is>
          <t>p_capex_pct</t>
        </is>
      </c>
    </row>
    <row r="13">
      <c r="B13" t="inlineStr">
        <is>
          <t>Change in WC / revenue (outflow)</t>
        </is>
      </c>
      <c r="C13" s="5" t="n">
        <v>0.015</v>
      </c>
      <c r="D13" s="2" t="inlineStr">
        <is>
          <t>p_wc_pct</t>
        </is>
      </c>
    </row>
    <row r="14">
      <c r="B14" t="inlineStr">
        <is>
          <t>Tax rate</t>
        </is>
      </c>
      <c r="C14" s="5" t="n">
        <v>0.19</v>
      </c>
      <c r="D14" s="2" t="inlineStr">
        <is>
          <t>p_tax_rate</t>
        </is>
      </c>
    </row>
    <row r="15">
      <c r="B15" t="inlineStr">
        <is>
          <t>Perpetuity growth rate</t>
        </is>
      </c>
      <c r="C15" s="5" t="n">
        <v>0.025</v>
      </c>
      <c r="D15" s="2" t="inlineStr">
        <is>
          <t>p_perp_g</t>
        </is>
      </c>
    </row>
    <row r="16">
      <c r="B16" s="3" t="inlineStr">
        <is>
          <t>WACC (= cost of equity, all-equity)</t>
        </is>
      </c>
      <c r="C16" s="6">
        <f>C31</f>
        <v/>
      </c>
    </row>
    <row r="18">
      <c r="B18" s="4" t="inlineStr">
        <is>
          <t>WACC build — CAPM (all-equity: net cash, asset-light)</t>
        </is>
      </c>
    </row>
    <row r="19">
      <c r="B19" s="7" t="inlineStr">
        <is>
          <t>Comparable</t>
        </is>
      </c>
      <c r="C19" s="7" t="inlineStr">
        <is>
          <t>Lev β</t>
        </is>
      </c>
      <c r="D19" s="7" t="inlineStr">
        <is>
          <t>D/E</t>
        </is>
      </c>
      <c r="E19" s="7" t="inlineStr">
        <is>
          <t>Unlev β</t>
        </is>
      </c>
    </row>
    <row r="20">
      <c r="B20" t="inlineStr">
        <is>
          <t>Endeavour Group</t>
        </is>
      </c>
      <c r="C20" s="8" t="n">
        <v>0.85</v>
      </c>
      <c r="D20" s="9" t="n">
        <v>0.35</v>
      </c>
      <c r="E20" s="10">
        <f>C20/(1+(1-$C$14)*D20)</f>
        <v/>
      </c>
    </row>
    <row r="21">
      <c r="B21" t="inlineStr">
        <is>
          <t>Coca-Cola Europacific</t>
        </is>
      </c>
      <c r="C21" s="8" t="n">
        <v>0.9</v>
      </c>
      <c r="D21" s="9" t="n">
        <v>0.5</v>
      </c>
      <c r="E21" s="10">
        <f>C21/(1+(1-$C$14)*D21)</f>
        <v/>
      </c>
    </row>
    <row r="22">
      <c r="B22" t="inlineStr">
        <is>
          <t>Compass Group</t>
        </is>
      </c>
      <c r="C22" s="8" t="n">
        <v>0.95</v>
      </c>
      <c r="D22" s="9" t="n">
        <v>0.3</v>
      </c>
      <c r="E22" s="10">
        <f>C22/(1+(1-$C$14)*D22)</f>
        <v/>
      </c>
    </row>
    <row r="23">
      <c r="B23" t="inlineStr">
        <is>
          <t>Aramark</t>
        </is>
      </c>
      <c r="C23" s="8" t="n">
        <v>1.1</v>
      </c>
      <c r="D23" s="9" t="n">
        <v>0.8</v>
      </c>
      <c r="E23" s="10">
        <f>C23/(1+(1-$C$14)*D23)</f>
        <v/>
      </c>
    </row>
    <row r="24">
      <c r="B24" t="inlineStr">
        <is>
          <t>Aristocrat Leisure</t>
        </is>
      </c>
      <c r="C24" s="8" t="n">
        <v>0.95</v>
      </c>
      <c r="D24" s="9" t="n">
        <v>0.15</v>
      </c>
      <c r="E24" s="10">
        <f>C24/(1+(1-$C$14)*D24)</f>
        <v/>
      </c>
    </row>
    <row r="25">
      <c r="B25" s="3" t="inlineStr">
        <is>
          <t>Average unlevered β</t>
        </is>
      </c>
      <c r="E25" s="11">
        <f>AVERAGE(E20:E24)</f>
        <v/>
      </c>
    </row>
    <row r="27">
      <c r="B27" t="inlineStr">
        <is>
          <t>Risk-free rate (AU 10Y)</t>
        </is>
      </c>
      <c r="C27" s="5" t="n">
        <v>0.0425</v>
      </c>
    </row>
    <row r="28">
      <c r="B28" t="inlineStr">
        <is>
          <t>Equity risk premium</t>
        </is>
      </c>
      <c r="C28" s="5" t="n">
        <v>0.06</v>
      </c>
    </row>
    <row r="29">
      <c r="B29" t="inlineStr">
        <is>
          <t>Specific risk premium</t>
        </is>
      </c>
      <c r="C29" s="5" t="n">
        <v>0.015</v>
      </c>
    </row>
    <row r="30">
      <c r="B30" t="inlineStr">
        <is>
          <t>Cost of equity (CAPM)</t>
        </is>
      </c>
      <c r="C30" s="9">
        <f>C27+E25*C28</f>
        <v/>
      </c>
    </row>
    <row r="31">
      <c r="B31" s="3" t="inlineStr">
        <is>
          <t>+ Specific risk premium → WACC</t>
        </is>
      </c>
      <c r="C31" s="6">
        <f>C30+C29</f>
        <v/>
      </c>
    </row>
    <row r="33">
      <c r="B33" s="2" t="inlineStr">
        <is>
          <t>Note: valued cash-free / debt-free (net cash, no debt) → all-equity WACC, EV = equity value. No exit multiple (no comparable set in the case).</t>
        </is>
      </c>
    </row>
  </sheetData>
  <mergeCells count="1"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2">
      <c r="B2" s="1" t="inlineStr">
        <is>
          <t>Company financial forecasts</t>
        </is>
      </c>
    </row>
    <row r="3">
      <c r="B3" s="2" t="inlineStr">
        <is>
          <t>FY21–FY25 actuals · FY26–FY31 forecast (driven from Assumptions)</t>
        </is>
      </c>
    </row>
    <row r="4">
      <c r="H4" s="12" t="inlineStr">
        <is>
          <t>Forecast →</t>
        </is>
      </c>
    </row>
    <row r="5">
      <c r="B5" s="3" t="inlineStr">
        <is>
          <t>$m</t>
        </is>
      </c>
      <c r="C5" s="13" t="inlineStr">
        <is>
          <t>FY21</t>
        </is>
      </c>
      <c r="D5" s="13" t="inlineStr">
        <is>
          <t>FY22</t>
        </is>
      </c>
      <c r="E5" s="13" t="inlineStr">
        <is>
          <t>FY23</t>
        </is>
      </c>
      <c r="F5" s="13" t="inlineStr">
        <is>
          <t>FY24</t>
        </is>
      </c>
      <c r="G5" s="13" t="inlineStr">
        <is>
          <t>FY25</t>
        </is>
      </c>
      <c r="H5" s="13" t="inlineStr">
        <is>
          <t>FY26</t>
        </is>
      </c>
      <c r="I5" s="13" t="inlineStr">
        <is>
          <t>FY27</t>
        </is>
      </c>
      <c r="J5" s="13" t="inlineStr">
        <is>
          <t>FY28</t>
        </is>
      </c>
      <c r="K5" s="13" t="inlineStr">
        <is>
          <t>FY29</t>
        </is>
      </c>
      <c r="L5" s="13" t="inlineStr">
        <is>
          <t>FY30</t>
        </is>
      </c>
      <c r="M5" s="13" t="inlineStr">
        <is>
          <t>FY31</t>
        </is>
      </c>
    </row>
    <row r="6">
      <c r="B6" s="3" t="inlineStr">
        <is>
          <t>Revenue</t>
        </is>
      </c>
      <c r="C6" s="14" t="n">
        <v>1149.23</v>
      </c>
      <c r="D6" s="14" t="n">
        <v>1255.63</v>
      </c>
      <c r="E6" s="14" t="n">
        <v>1353.84</v>
      </c>
      <c r="F6" s="14" t="n">
        <v>1446.98</v>
      </c>
      <c r="G6" s="14" t="n">
        <v>1442.62</v>
      </c>
      <c r="H6" s="14">
        <f>G6*(1+Assumptions!$C$9)</f>
        <v/>
      </c>
      <c r="I6" s="14">
        <f>H6*(1+Assumptions!$C$9)</f>
        <v/>
      </c>
      <c r="J6" s="14">
        <f>I6*(1+Assumptions!$C$9)</f>
        <v/>
      </c>
      <c r="K6" s="14">
        <f>J6*(1+Assumptions!$C$9)</f>
        <v/>
      </c>
      <c r="L6" s="14">
        <f>K6*(1+Assumptions!$C$9)</f>
        <v/>
      </c>
      <c r="M6" s="14">
        <f>L6*(1+Assumptions!$C$9)</f>
        <v/>
      </c>
    </row>
    <row r="7">
      <c r="B7" t="inlineStr">
        <is>
          <t xml:space="preserve">  YoY growth %</t>
        </is>
      </c>
      <c r="D7" s="9">
        <f>D6/C6-1</f>
        <v/>
      </c>
      <c r="E7" s="9">
        <f>E6/D6-1</f>
        <v/>
      </c>
      <c r="F7" s="9">
        <f>F6/E6-1</f>
        <v/>
      </c>
      <c r="G7" s="9">
        <f>G6/F6-1</f>
        <v/>
      </c>
      <c r="H7" s="9">
        <f>H6/G6-1</f>
        <v/>
      </c>
      <c r="I7" s="9">
        <f>I6/H6-1</f>
        <v/>
      </c>
      <c r="J7" s="9">
        <f>J6/I6-1</f>
        <v/>
      </c>
      <c r="K7" s="9">
        <f>K6/J6-1</f>
        <v/>
      </c>
      <c r="L7" s="9">
        <f>L6/K6-1</f>
        <v/>
      </c>
      <c r="M7" s="9">
        <f>M6/L6-1</f>
        <v/>
      </c>
    </row>
    <row r="8">
      <c r="B8" s="3" t="inlineStr">
        <is>
          <t>EBITDA</t>
        </is>
      </c>
      <c r="C8" s="14" t="n">
        <v>94.15000000000001</v>
      </c>
      <c r="D8" s="14" t="n">
        <v>92.62</v>
      </c>
      <c r="E8" s="14" t="n">
        <v>111.8</v>
      </c>
      <c r="F8" s="14" t="n">
        <v>124.4</v>
      </c>
      <c r="G8" s="14" t="n">
        <v>127.57</v>
      </c>
      <c r="H8" s="14">
        <f>H6*Assumptions!$C$10</f>
        <v/>
      </c>
      <c r="I8" s="14">
        <f>I6*Assumptions!$C$10</f>
        <v/>
      </c>
      <c r="J8" s="14">
        <f>J6*Assumptions!$C$10</f>
        <v/>
      </c>
      <c r="K8" s="14">
        <f>K6*Assumptions!$C$10</f>
        <v/>
      </c>
      <c r="L8" s="14">
        <f>L6*Assumptions!$C$10</f>
        <v/>
      </c>
      <c r="M8" s="14">
        <f>M6*Assumptions!$C$10</f>
        <v/>
      </c>
    </row>
    <row r="9">
      <c r="B9" t="inlineStr">
        <is>
          <t xml:space="preserve">  EBITDA margin %</t>
        </is>
      </c>
      <c r="C9" s="9">
        <f>C8/C6</f>
        <v/>
      </c>
      <c r="D9" s="9">
        <f>D8/D6</f>
        <v/>
      </c>
      <c r="E9" s="9">
        <f>E8/E6</f>
        <v/>
      </c>
      <c r="F9" s="9">
        <f>F8/F6</f>
        <v/>
      </c>
      <c r="G9" s="9">
        <f>G8/G6</f>
        <v/>
      </c>
      <c r="H9" s="9">
        <f>H8/H6</f>
        <v/>
      </c>
      <c r="I9" s="9">
        <f>I8/I6</f>
        <v/>
      </c>
      <c r="J9" s="9">
        <f>J8/J6</f>
        <v/>
      </c>
      <c r="K9" s="9">
        <f>K8/K6</f>
        <v/>
      </c>
      <c r="L9" s="9">
        <f>L8/L6</f>
        <v/>
      </c>
      <c r="M9" s="9">
        <f>M8/M6</f>
        <v/>
      </c>
    </row>
    <row r="10">
      <c r="B10" t="inlineStr">
        <is>
          <t>Depreciation &amp; amortisation</t>
        </is>
      </c>
      <c r="C10" s="14" t="n">
        <v>-36.13</v>
      </c>
      <c r="D10" s="14" t="n">
        <v>-40.46</v>
      </c>
      <c r="E10" s="14" t="n">
        <v>-47.2</v>
      </c>
      <c r="F10" s="14" t="n">
        <v>-51.83</v>
      </c>
      <c r="G10" s="14" t="n">
        <v>-54.8</v>
      </c>
      <c r="H10" s="14">
        <f>-H6*Assumptions!$C$11</f>
        <v/>
      </c>
      <c r="I10" s="14">
        <f>-I6*Assumptions!$C$11</f>
        <v/>
      </c>
      <c r="J10" s="14">
        <f>-J6*Assumptions!$C$11</f>
        <v/>
      </c>
      <c r="K10" s="14">
        <f>-K6*Assumptions!$C$11</f>
        <v/>
      </c>
      <c r="L10" s="14">
        <f>-L6*Assumptions!$C$11</f>
        <v/>
      </c>
      <c r="M10" s="14">
        <f>-M6*Assumptions!$C$11</f>
        <v/>
      </c>
    </row>
    <row r="11">
      <c r="B11" s="3" t="inlineStr">
        <is>
          <t>EBIT</t>
        </is>
      </c>
      <c r="C11" s="14">
        <f>C8+C10</f>
        <v/>
      </c>
      <c r="D11" s="14">
        <f>D8+D10</f>
        <v/>
      </c>
      <c r="E11" s="14">
        <f>E8+E10</f>
        <v/>
      </c>
      <c r="F11" s="14">
        <f>F8+F10</f>
        <v/>
      </c>
      <c r="G11" s="14">
        <f>G8+G10</f>
        <v/>
      </c>
      <c r="H11" s="14">
        <f>H8+H10</f>
        <v/>
      </c>
      <c r="I11" s="14">
        <f>I8+I10</f>
        <v/>
      </c>
      <c r="J11" s="14">
        <f>J8+J10</f>
        <v/>
      </c>
      <c r="K11" s="14">
        <f>K8+K10</f>
        <v/>
      </c>
      <c r="L11" s="14">
        <f>L8+L10</f>
        <v/>
      </c>
      <c r="M11" s="14">
        <f>M8+M10</f>
        <v/>
      </c>
    </row>
    <row r="12">
      <c r="B12" t="inlineStr">
        <is>
          <t>Tax on EBIT</t>
        </is>
      </c>
      <c r="C12" s="14">
        <f>-C11*Assumptions!$C$14</f>
        <v/>
      </c>
      <c r="D12" s="14">
        <f>-D11*Assumptions!$C$14</f>
        <v/>
      </c>
      <c r="E12" s="14">
        <f>-E11*Assumptions!$C$14</f>
        <v/>
      </c>
      <c r="F12" s="14">
        <f>-F11*Assumptions!$C$14</f>
        <v/>
      </c>
      <c r="G12" s="14">
        <f>-G11*Assumptions!$C$14</f>
        <v/>
      </c>
      <c r="H12" s="14">
        <f>-H11*Assumptions!$C$14</f>
        <v/>
      </c>
      <c r="I12" s="14">
        <f>-I11*Assumptions!$C$14</f>
        <v/>
      </c>
      <c r="J12" s="14">
        <f>-J11*Assumptions!$C$14</f>
        <v/>
      </c>
      <c r="K12" s="14">
        <f>-K11*Assumptions!$C$14</f>
        <v/>
      </c>
      <c r="L12" s="14">
        <f>-L11*Assumptions!$C$14</f>
        <v/>
      </c>
      <c r="M12" s="14">
        <f>-M11*Assumptions!$C$14</f>
        <v/>
      </c>
    </row>
    <row r="13">
      <c r="B13" t="inlineStr">
        <is>
          <t>Capex</t>
        </is>
      </c>
      <c r="C13" s="14" t="n">
        <v>-36</v>
      </c>
      <c r="D13" s="14" t="n">
        <v>-51</v>
      </c>
      <c r="E13" s="14" t="n">
        <v>-50</v>
      </c>
      <c r="F13" s="14" t="n">
        <v>-50</v>
      </c>
      <c r="G13" s="14" t="n">
        <v>-50</v>
      </c>
      <c r="H13" s="14">
        <f>-H6*Assumptions!$C$12</f>
        <v/>
      </c>
      <c r="I13" s="14">
        <f>-I6*Assumptions!$C$12</f>
        <v/>
      </c>
      <c r="J13" s="14">
        <f>-J6*Assumptions!$C$12</f>
        <v/>
      </c>
      <c r="K13" s="14">
        <f>-K6*Assumptions!$C$12</f>
        <v/>
      </c>
      <c r="L13" s="14">
        <f>-L6*Assumptions!$C$12</f>
        <v/>
      </c>
      <c r="M13" s="14">
        <f>-M6*Assumptions!$C$12</f>
        <v/>
      </c>
    </row>
    <row r="14">
      <c r="B14" t="inlineStr">
        <is>
          <t>Change in working capital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>
        <f>-H6*Assumptions!$C$13</f>
        <v/>
      </c>
      <c r="I14" s="14">
        <f>-I6*Assumptions!$C$13</f>
        <v/>
      </c>
      <c r="J14" s="14">
        <f>-J6*Assumptions!$C$13</f>
        <v/>
      </c>
      <c r="K14" s="14">
        <f>-K6*Assumptions!$C$13</f>
        <v/>
      </c>
      <c r="L14" s="14">
        <f>-L6*Assumptions!$C$13</f>
        <v/>
      </c>
      <c r="M14" s="14">
        <f>-M6*Assumptions!$C$13</f>
        <v/>
      </c>
    </row>
    <row r="15">
      <c r="B15" t="inlineStr">
        <is>
          <t>Dividend</t>
        </is>
      </c>
      <c r="C15" s="14" t="n">
        <v>-24</v>
      </c>
      <c r="D15" s="14" t="n">
        <v>-24</v>
      </c>
      <c r="E15" s="14" t="n">
        <v>-24</v>
      </c>
      <c r="F15" s="14" t="n">
        <v>-24</v>
      </c>
      <c r="G15" s="14" t="n">
        <v>-24</v>
      </c>
      <c r="H15" s="14" t="n">
        <v>-24</v>
      </c>
      <c r="I15" s="14" t="n">
        <v>-24</v>
      </c>
      <c r="J15" s="14" t="n">
        <v>-24</v>
      </c>
      <c r="K15" s="14" t="n">
        <v>-24</v>
      </c>
      <c r="L15" s="14" t="n">
        <v>-24</v>
      </c>
      <c r="M15" s="14" t="n">
        <v>-24</v>
      </c>
    </row>
    <row r="16">
      <c r="B16" s="3" t="inlineStr">
        <is>
          <t>Net cash flow (post-dividend)</t>
        </is>
      </c>
      <c r="C16" s="14">
        <f>C8+C12+C13+C14+C15</f>
        <v/>
      </c>
      <c r="D16" s="14">
        <f>D8+D12+D13+D14+D15</f>
        <v/>
      </c>
      <c r="E16" s="14">
        <f>E8+E12+E13+E14+E15</f>
        <v/>
      </c>
      <c r="F16" s="14">
        <f>F8+F12+F13+F14+F15</f>
        <v/>
      </c>
      <c r="G16" s="14">
        <f>G8+G12+G13+G14+G15</f>
        <v/>
      </c>
      <c r="H16" s="14">
        <f>H8+H12+H13+H14+H15</f>
        <v/>
      </c>
      <c r="I16" s="14">
        <f>I8+I12+I13+I14+I15</f>
        <v/>
      </c>
      <c r="J16" s="14">
        <f>J8+J12+J13+J14+J15</f>
        <v/>
      </c>
      <c r="K16" s="14">
        <f>K8+K12+K13+K14+K15</f>
        <v/>
      </c>
      <c r="L16" s="14">
        <f>L8+L12+L13+L14+L15</f>
        <v/>
      </c>
      <c r="M16" s="14">
        <f>M8+M12+M13+M14+M15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>
      <c r="B2" s="1" t="inlineStr">
        <is>
          <t>DCF — Perpetuity Growth (primary method)</t>
        </is>
      </c>
    </row>
    <row r="3">
      <c r="B3" s="2" t="inlineStr">
        <is>
          <t>Unlevered FCF, mid-year discounting. AUD millions.</t>
        </is>
      </c>
    </row>
    <row r="5">
      <c r="B5" s="3" t="inlineStr">
        <is>
          <t>$m</t>
        </is>
      </c>
      <c r="C5" s="13" t="inlineStr">
        <is>
          <t>FY26</t>
        </is>
      </c>
      <c r="D5" s="13" t="inlineStr">
        <is>
          <t>FY27</t>
        </is>
      </c>
      <c r="E5" s="13" t="inlineStr">
        <is>
          <t>FY28</t>
        </is>
      </c>
      <c r="F5" s="13" t="inlineStr">
        <is>
          <t>FY29</t>
        </is>
      </c>
      <c r="G5" s="13" t="inlineStr">
        <is>
          <t>FY30</t>
        </is>
      </c>
      <c r="H5" s="13" t="inlineStr">
        <is>
          <t>FY31</t>
        </is>
      </c>
    </row>
    <row r="6">
      <c r="B6" t="inlineStr">
        <is>
          <t>EBIT</t>
        </is>
      </c>
      <c r="C6" s="14">
        <f>'Company fin forecasts'!H11</f>
        <v/>
      </c>
      <c r="D6" s="14">
        <f>'Company fin forecasts'!I11</f>
        <v/>
      </c>
      <c r="E6" s="14">
        <f>'Company fin forecasts'!J11</f>
        <v/>
      </c>
      <c r="F6" s="14">
        <f>'Company fin forecasts'!K11</f>
        <v/>
      </c>
      <c r="G6" s="14">
        <f>'Company fin forecasts'!L11</f>
        <v/>
      </c>
      <c r="H6" s="14">
        <f>'Company fin forecasts'!M11</f>
        <v/>
      </c>
    </row>
    <row r="7">
      <c r="B7" t="inlineStr">
        <is>
          <t>Less: tax on EBIT</t>
        </is>
      </c>
      <c r="C7" s="14">
        <f>-C6*Assumptions!$C$14</f>
        <v/>
      </c>
      <c r="D7" s="14">
        <f>-D6*Assumptions!$C$14</f>
        <v/>
      </c>
      <c r="E7" s="14">
        <f>-E6*Assumptions!$C$14</f>
        <v/>
      </c>
      <c r="F7" s="14">
        <f>-F6*Assumptions!$C$14</f>
        <v/>
      </c>
      <c r="G7" s="14">
        <f>-G6*Assumptions!$C$14</f>
        <v/>
      </c>
      <c r="H7" s="14">
        <f>-H6*Assumptions!$C$14</f>
        <v/>
      </c>
    </row>
    <row r="8">
      <c r="B8" t="inlineStr">
        <is>
          <t>NOPAT</t>
        </is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</row>
    <row r="9">
      <c r="B9" t="inlineStr">
        <is>
          <t>Add: D&amp;A</t>
        </is>
      </c>
      <c r="C9" s="14">
        <f>-'Company fin forecasts'!H10</f>
        <v/>
      </c>
      <c r="D9" s="14">
        <f>-'Company fin forecasts'!I10</f>
        <v/>
      </c>
      <c r="E9" s="14">
        <f>-'Company fin forecasts'!J10</f>
        <v/>
      </c>
      <c r="F9" s="14">
        <f>-'Company fin forecasts'!K10</f>
        <v/>
      </c>
      <c r="G9" s="14">
        <f>-'Company fin forecasts'!L10</f>
        <v/>
      </c>
      <c r="H9" s="14">
        <f>-'Company fin forecasts'!M10</f>
        <v/>
      </c>
    </row>
    <row r="10">
      <c r="B10" t="inlineStr">
        <is>
          <t>Less: capex</t>
        </is>
      </c>
      <c r="C10" s="14">
        <f>'Company fin forecasts'!H13</f>
        <v/>
      </c>
      <c r="D10" s="14">
        <f>'Company fin forecasts'!I13</f>
        <v/>
      </c>
      <c r="E10" s="14">
        <f>'Company fin forecasts'!J13</f>
        <v/>
      </c>
      <c r="F10" s="14">
        <f>'Company fin forecasts'!K13</f>
        <v/>
      </c>
      <c r="G10" s="14">
        <f>'Company fin forecasts'!L13</f>
        <v/>
      </c>
      <c r="H10" s="14">
        <f>'Company fin forecasts'!M13</f>
        <v/>
      </c>
    </row>
    <row r="11">
      <c r="B11" t="inlineStr">
        <is>
          <t>Less: change in WC</t>
        </is>
      </c>
      <c r="C11" s="14">
        <f>'Company fin forecasts'!H14</f>
        <v/>
      </c>
      <c r="D11" s="14">
        <f>'Company fin forecasts'!I14</f>
        <v/>
      </c>
      <c r="E11" s="14">
        <f>'Company fin forecasts'!J14</f>
        <v/>
      </c>
      <c r="F11" s="14">
        <f>'Company fin forecasts'!K14</f>
        <v/>
      </c>
      <c r="G11" s="14">
        <f>'Company fin forecasts'!L14</f>
        <v/>
      </c>
      <c r="H11" s="14">
        <f>'Company fin forecasts'!M14</f>
        <v/>
      </c>
    </row>
    <row r="12">
      <c r="B12" s="3" t="inlineStr">
        <is>
          <t>Unlevered FCF</t>
        </is>
      </c>
      <c r="C12" s="14">
        <f>C8+C9+C10+C11</f>
        <v/>
      </c>
      <c r="D12" s="14">
        <f>D8+D9+D10+D11</f>
        <v/>
      </c>
      <c r="E12" s="14">
        <f>E8+E9+E10+E11</f>
        <v/>
      </c>
      <c r="F12" s="14">
        <f>F8+F9+F10+F11</f>
        <v/>
      </c>
      <c r="G12" s="14">
        <f>G8+G9+G10+G11</f>
        <v/>
      </c>
      <c r="H12" s="14">
        <f>H8+H9+H10+H11</f>
        <v/>
      </c>
    </row>
    <row r="13">
      <c r="B13" t="inlineStr">
        <is>
          <t>Discount period (yrs, mid-year)</t>
        </is>
      </c>
      <c r="C13" s="15" t="n">
        <v>0.5</v>
      </c>
      <c r="D13" s="15" t="n">
        <v>1.5</v>
      </c>
      <c r="E13" s="15" t="n">
        <v>2.5</v>
      </c>
      <c r="F13" s="15" t="n">
        <v>3.5</v>
      </c>
      <c r="G13" s="15" t="n">
        <v>4.5</v>
      </c>
      <c r="H13" s="15" t="n">
        <v>5.5</v>
      </c>
    </row>
    <row r="14">
      <c r="B14" t="inlineStr">
        <is>
          <t>Discount factor @ WACC</t>
        </is>
      </c>
      <c r="C14" s="10">
        <f>1/(1+Assumptions!$C$16)^C13</f>
        <v/>
      </c>
      <c r="D14" s="10">
        <f>1/(1+Assumptions!$C$16)^D13</f>
        <v/>
      </c>
      <c r="E14" s="10">
        <f>1/(1+Assumptions!$C$16)^E13</f>
        <v/>
      </c>
      <c r="F14" s="10">
        <f>1/(1+Assumptions!$C$16)^F13</f>
        <v/>
      </c>
      <c r="G14" s="10">
        <f>1/(1+Assumptions!$C$16)^G13</f>
        <v/>
      </c>
      <c r="H14" s="10">
        <f>1/(1+Assumptions!$C$16)^H13</f>
        <v/>
      </c>
    </row>
    <row r="15">
      <c r="B15" s="3" t="inlineStr">
        <is>
          <t>PV of FCF</t>
        </is>
      </c>
      <c r="C15" s="14">
        <f>C12*C14</f>
        <v/>
      </c>
      <c r="D15" s="14">
        <f>D12*D14</f>
        <v/>
      </c>
      <c r="E15" s="14">
        <f>E12*E14</f>
        <v/>
      </c>
      <c r="F15" s="14">
        <f>F12*F14</f>
        <v/>
      </c>
      <c r="G15" s="14">
        <f>G12*G14</f>
        <v/>
      </c>
      <c r="H15" s="14">
        <f>H12*H14</f>
        <v/>
      </c>
    </row>
    <row r="17">
      <c r="B17" s="4" t="inlineStr">
        <is>
          <t>Valuation (perpetuity growth)</t>
        </is>
      </c>
    </row>
    <row r="18">
      <c r="B18" t="inlineStr">
        <is>
          <t>Sum of PV(FCF)</t>
        </is>
      </c>
      <c r="C18" s="14">
        <f>SUM(C15:H15)</f>
        <v/>
      </c>
    </row>
    <row r="19">
      <c r="B19" t="inlineStr">
        <is>
          <t>Terminal value (Gordon, undiscounted)</t>
        </is>
      </c>
      <c r="C19" s="14">
        <f>H12*(1+Assumptions!$C$15)/(Assumptions!$C$16-Assumptions!$C$15)</f>
        <v/>
      </c>
    </row>
    <row r="20">
      <c r="B20" t="inlineStr">
        <is>
          <t>PV of terminal value</t>
        </is>
      </c>
      <c r="C20" s="14">
        <f>C19/(1+Assumptions!$C$16)^6</f>
        <v/>
      </c>
    </row>
    <row r="21">
      <c r="B21" s="3" t="inlineStr">
        <is>
          <t>Enterprise value</t>
        </is>
      </c>
      <c r="C21" s="16">
        <f>C18+C20</f>
        <v/>
      </c>
    </row>
    <row r="22">
      <c r="B22" t="inlineStr">
        <is>
          <t>Net debt (cash-free/debt-free)</t>
        </is>
      </c>
      <c r="C22" s="14" t="n">
        <v>0</v>
      </c>
    </row>
    <row r="23">
      <c r="B23" s="3" t="inlineStr">
        <is>
          <t>Equity value (= EV)</t>
        </is>
      </c>
      <c r="C23" s="16">
        <f>C21-C22</f>
        <v/>
      </c>
    </row>
    <row r="25">
      <c r="B25" t="inlineStr">
        <is>
          <t>Check: implied EV / LFY EBITDA</t>
        </is>
      </c>
      <c r="C25" s="17">
        <f>C21/127.57</f>
        <v/>
      </c>
    </row>
  </sheetData>
  <mergeCells count="1"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2026-05-29T05:11:51Z</dcterms:created>
  <dcterms:modified xmlns:dcterms="http://purl.org/dc/terms/" xmlns:xsi="http://www.w3.org/2001/XMLSchema-instance" xsi:type="dcterms:W3CDTF">2026-05-29T05:11:51Z</dcterms:modified>
</cp:coreProperties>
</file>